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camalar" sheetId="1" state="visible" r:id="rId1"/>
    <sheet xmlns:r="http://schemas.openxmlformats.org/officeDocument/2006/relationships" name="Ozet_Anali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color rgb="00000000"/>
      <sz val="10"/>
    </font>
    <font>
      <sz val="10"/>
    </font>
    <font>
      <b val="1"/>
      <sz val="10"/>
    </font>
    <font>
      <b val="1"/>
    </font>
    <font>
      <b val="1"/>
      <color rgb="001f7a4f"/>
    </font>
  </fonts>
  <fills count="6">
    <fill>
      <patternFill/>
    </fill>
    <fill>
      <patternFill patternType="gray125"/>
    </fill>
    <fill>
      <patternFill patternType="solid">
        <fgColor rgb="001f7a4f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d5f0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CC0000"/>
      </font>
      <fill>
        <patternFill patternType="solid">
          <f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14" customWidth="1" min="4" max="4"/>
    <col width="14" customWidth="1" min="5" max="5"/>
    <col width="12" customWidth="1" min="6" max="6"/>
  </cols>
  <sheetData>
    <row r="1" ht="30" customHeight="1">
      <c r="A1" s="1" t="inlineStr">
        <is>
          <t>AYLIK HARCAMA TAKİP TABLOSU — Ocak 2025</t>
        </is>
      </c>
    </row>
    <row r="2">
      <c r="A2" s="2" t="inlineStr">
        <is>
          <t>Tarih</t>
        </is>
      </c>
      <c r="B2" s="2" t="inlineStr">
        <is>
          <t>Kategori</t>
        </is>
      </c>
      <c r="C2" s="2" t="inlineStr">
        <is>
          <t>Açıklama</t>
        </is>
      </c>
      <c r="D2" s="2" t="inlineStr">
        <is>
          <t>Tutar (TL)</t>
        </is>
      </c>
      <c r="E2" s="2" t="inlineStr">
        <is>
          <t>Bütçe Sınırı</t>
        </is>
      </c>
      <c r="F2" s="2" t="inlineStr">
        <is>
          <t>Durum</t>
        </is>
      </c>
    </row>
    <row r="3">
      <c r="A3" s="3" t="inlineStr">
        <is>
          <t>01.01.2025</t>
        </is>
      </c>
      <c r="B3" s="3" t="inlineStr">
        <is>
          <t>Kırtasiye</t>
        </is>
      </c>
      <c r="C3" s="3" t="inlineStr">
        <is>
          <t>Tükenmez kalem (10 adet)</t>
        </is>
      </c>
      <c r="D3" s="4" t="n">
        <v>125.5</v>
      </c>
      <c r="E3" s="4" t="n">
        <v>100</v>
      </c>
      <c r="F3" s="5">
        <f>IF(D3&gt;E3,"⚠ Aşıldı","✓ Normal")</f>
        <v/>
      </c>
    </row>
    <row r="4">
      <c r="A4" s="6" t="inlineStr">
        <is>
          <t>03.01.2025</t>
        </is>
      </c>
      <c r="B4" s="6" t="inlineStr">
        <is>
          <t>Gıda</t>
        </is>
      </c>
      <c r="C4" s="6" t="inlineStr">
        <is>
          <t>Okul kantini</t>
        </is>
      </c>
      <c r="D4" s="7" t="n">
        <v>45</v>
      </c>
      <c r="E4" s="7" t="n">
        <v>80</v>
      </c>
      <c r="F4" s="8">
        <f>IF(D4&gt;E4,"⚠ Aşıldı","✓ Normal")</f>
        <v/>
      </c>
    </row>
    <row r="5">
      <c r="A5" s="3" t="inlineStr">
        <is>
          <t>05.01.2025</t>
        </is>
      </c>
      <c r="B5" s="3" t="inlineStr">
        <is>
          <t>Kırtasiye</t>
        </is>
      </c>
      <c r="C5" s="3" t="inlineStr">
        <is>
          <t>Spiralli defter (3 adet)</t>
        </is>
      </c>
      <c r="D5" s="4" t="n">
        <v>220</v>
      </c>
      <c r="E5" s="4" t="n">
        <v>100</v>
      </c>
      <c r="F5" s="5">
        <f>IF(D5&gt;E5,"⚠ Aşıldı","✓ Normal")</f>
        <v/>
      </c>
    </row>
    <row r="6">
      <c r="A6" s="6" t="inlineStr">
        <is>
          <t>07.01.2025</t>
        </is>
      </c>
      <c r="B6" s="6" t="inlineStr">
        <is>
          <t>Ulaşım</t>
        </is>
      </c>
      <c r="C6" s="6" t="inlineStr">
        <is>
          <t>Otobüs kartı yükleme</t>
        </is>
      </c>
      <c r="D6" s="7" t="n">
        <v>80</v>
      </c>
      <c r="E6" s="7" t="n">
        <v>100</v>
      </c>
      <c r="F6" s="8">
        <f>IF(D6&gt;E6,"⚠ Aşıldı","✓ Normal")</f>
        <v/>
      </c>
    </row>
    <row r="7">
      <c r="A7" s="3" t="inlineStr">
        <is>
          <t>10.01.2025</t>
        </is>
      </c>
      <c r="B7" s="3" t="inlineStr">
        <is>
          <t>Gıda</t>
        </is>
      </c>
      <c r="C7" s="3" t="inlineStr">
        <is>
          <t>Öğle yemeği</t>
        </is>
      </c>
      <c r="D7" s="4" t="n">
        <v>65</v>
      </c>
      <c r="E7" s="4" t="n">
        <v>80</v>
      </c>
      <c r="F7" s="5">
        <f>IF(D7&gt;E7,"⚠ Aşıldı","✓ Normal")</f>
        <v/>
      </c>
    </row>
    <row r="8">
      <c r="A8" s="6" t="inlineStr">
        <is>
          <t>12.01.2025</t>
        </is>
      </c>
      <c r="B8" s="6" t="inlineStr">
        <is>
          <t>Kırtasiye</t>
        </is>
      </c>
      <c r="C8" s="6" t="inlineStr">
        <is>
          <t>Renkli kalemler seti</t>
        </is>
      </c>
      <c r="D8" s="7" t="n">
        <v>180</v>
      </c>
      <c r="E8" s="7" t="n">
        <v>100</v>
      </c>
      <c r="F8" s="8">
        <f>IF(D8&gt;E8,"⚠ Aşıldı","✓ Normal")</f>
        <v/>
      </c>
    </row>
    <row r="9">
      <c r="A9" s="3" t="inlineStr">
        <is>
          <t>15.01.2025</t>
        </is>
      </c>
      <c r="B9" s="3" t="inlineStr">
        <is>
          <t>Eğlence</t>
        </is>
      </c>
      <c r="C9" s="3" t="inlineStr">
        <is>
          <t>Sinema bileti</t>
        </is>
      </c>
      <c r="D9" s="4" t="n">
        <v>120</v>
      </c>
      <c r="E9" s="4" t="n">
        <v>100</v>
      </c>
      <c r="F9" s="5">
        <f>IF(D9&gt;E9,"⚠ Aşıldı","✓ Normal")</f>
        <v/>
      </c>
    </row>
    <row r="10">
      <c r="A10" s="6" t="inlineStr">
        <is>
          <t>18.01.2025</t>
        </is>
      </c>
      <c r="B10" s="6" t="inlineStr">
        <is>
          <t>Ulaşım</t>
        </is>
      </c>
      <c r="C10" s="6" t="inlineStr">
        <is>
          <t>Taksi</t>
        </is>
      </c>
      <c r="D10" s="7" t="n">
        <v>95</v>
      </c>
      <c r="E10" s="7" t="n">
        <v>100</v>
      </c>
      <c r="F10" s="8">
        <f>IF(D10&gt;E10,"⚠ Aşıldı","✓ Normal")</f>
        <v/>
      </c>
    </row>
    <row r="11">
      <c r="A11" s="3" t="inlineStr">
        <is>
          <t>20.01.2025</t>
        </is>
      </c>
      <c r="B11" s="3" t="inlineStr">
        <is>
          <t>Gıda</t>
        </is>
      </c>
      <c r="C11" s="3" t="inlineStr">
        <is>
          <t>Meyve &amp; sebze</t>
        </is>
      </c>
      <c r="D11" s="4" t="n">
        <v>55</v>
      </c>
      <c r="E11" s="4" t="n">
        <v>80</v>
      </c>
      <c r="F11" s="5">
        <f>IF(D11&gt;E11,"⚠ Aşıldı","✓ Normal")</f>
        <v/>
      </c>
    </row>
    <row r="12">
      <c r="A12" s="6" t="inlineStr">
        <is>
          <t>22.01.2025</t>
        </is>
      </c>
      <c r="B12" s="6" t="inlineStr">
        <is>
          <t>Eğlence</t>
        </is>
      </c>
      <c r="C12" s="6" t="inlineStr">
        <is>
          <t>Kitap satın alma</t>
        </is>
      </c>
      <c r="D12" s="7" t="n">
        <v>85</v>
      </c>
      <c r="E12" s="7" t="n">
        <v>100</v>
      </c>
      <c r="F12" s="8">
        <f>IF(D12&gt;E12,"⚠ Aşıldı","✓ Normal")</f>
        <v/>
      </c>
    </row>
    <row r="13">
      <c r="A13" s="3" t="inlineStr">
        <is>
          <t>25.01.2025</t>
        </is>
      </c>
      <c r="B13" s="3" t="inlineStr">
        <is>
          <t>Kırtasiye</t>
        </is>
      </c>
      <c r="C13" s="3" t="inlineStr">
        <is>
          <t>Dosya &amp; klasör</t>
        </is>
      </c>
      <c r="D13" s="4" t="n">
        <v>60</v>
      </c>
      <c r="E13" s="4" t="n">
        <v>100</v>
      </c>
      <c r="F13" s="5">
        <f>IF(D13&gt;E13,"⚠ Aşıldı","✓ Normal")</f>
        <v/>
      </c>
    </row>
    <row r="14">
      <c r="A14" s="6" t="inlineStr">
        <is>
          <t>28.01.2025</t>
        </is>
      </c>
      <c r="B14" s="6" t="inlineStr">
        <is>
          <t>Gıda</t>
        </is>
      </c>
      <c r="C14" s="6" t="inlineStr">
        <is>
          <t>Restoran</t>
        </is>
      </c>
      <c r="D14" s="7" t="n">
        <v>140</v>
      </c>
      <c r="E14" s="7" t="n">
        <v>80</v>
      </c>
      <c r="F14" s="8">
        <f>IF(D14&gt;E14,"⚠ Aşıldı","✓ Normal")</f>
        <v/>
      </c>
    </row>
    <row r="15">
      <c r="A15" s="3" t="inlineStr">
        <is>
          <t>30.01.2025</t>
        </is>
      </c>
      <c r="B15" s="3" t="inlineStr">
        <is>
          <t>Ulaşım</t>
        </is>
      </c>
      <c r="C15" s="3" t="inlineStr">
        <is>
          <t>Servis</t>
        </is>
      </c>
      <c r="D15" s="4" t="n">
        <v>50</v>
      </c>
      <c r="E15" s="4" t="n">
        <v>100</v>
      </c>
      <c r="F15" s="5">
        <f>IF(D15&gt;E15,"⚠ Aşıldı","✓ Normal")</f>
        <v/>
      </c>
    </row>
    <row r="16">
      <c r="A16" s="6" t="inlineStr">
        <is>
          <t>31.01.2025</t>
        </is>
      </c>
      <c r="B16" s="6" t="inlineStr">
        <is>
          <t>Eğlence</t>
        </is>
      </c>
      <c r="C16" s="6" t="inlineStr">
        <is>
          <t>Konser bileti</t>
        </is>
      </c>
      <c r="D16" s="7" t="n">
        <v>200</v>
      </c>
      <c r="E16" s="7" t="n">
        <v>100</v>
      </c>
      <c r="F16" s="8">
        <f>IF(D16&gt;E16,"⚠ Aşıldı","✓ Normal")</f>
        <v/>
      </c>
    </row>
  </sheetData>
  <mergeCells count="1">
    <mergeCell ref="A1:F1"/>
  </mergeCells>
  <conditionalFormatting sqref="D3:D16">
    <cfRule type="cellIs" priority="1" operator="greaterThan" dxfId="0">
      <formula>E3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</cols>
  <sheetData>
    <row r="1" ht="30" customHeight="1">
      <c r="A1" s="1" t="inlineStr">
        <is>
          <t>KATEGORİ BAZLI HARCAMA ÖZETİ</t>
        </is>
      </c>
    </row>
    <row r="2">
      <c r="A2" s="2" t="inlineStr">
        <is>
          <t>Kategori</t>
        </is>
      </c>
      <c r="B2" s="2" t="inlineStr">
        <is>
          <t>Harcama Sayısı</t>
        </is>
      </c>
      <c r="C2" s="2" t="inlineStr">
        <is>
          <t>Toplam (TL)</t>
        </is>
      </c>
      <c r="D2" s="2" t="inlineStr">
        <is>
          <t>Ort. Tutar (TL)</t>
        </is>
      </c>
    </row>
    <row r="3">
      <c r="A3" s="9" t="inlineStr">
        <is>
          <t>Kırtasiye</t>
        </is>
      </c>
      <c r="B3" s="10">
        <f>COUNTIF(Harcamalar!B:B,A3)</f>
        <v/>
      </c>
      <c r="C3" s="11">
        <f>SUMIF(Harcamalar!B:B,A3,Harcamalar!D:D)</f>
        <v/>
      </c>
      <c r="D3" s="12">
        <f>AVERAGEIF(Harcamalar!B:B,A3,Harcamalar!D:D)</f>
        <v/>
      </c>
    </row>
    <row r="4">
      <c r="A4" s="9" t="inlineStr">
        <is>
          <t>Gıda</t>
        </is>
      </c>
      <c r="B4" s="10">
        <f>COUNTIF(Harcamalar!B:B,A4)</f>
        <v/>
      </c>
      <c r="C4" s="11">
        <f>SUMIF(Harcamalar!B:B,A4,Harcamalar!D:D)</f>
        <v/>
      </c>
      <c r="D4" s="12">
        <f>AVERAGEIF(Harcamalar!B:B,A4,Harcamalar!D:D)</f>
        <v/>
      </c>
    </row>
    <row r="5">
      <c r="A5" s="9" t="inlineStr">
        <is>
          <t>Ulaşım</t>
        </is>
      </c>
      <c r="B5" s="10">
        <f>COUNTIF(Harcamalar!B:B,A5)</f>
        <v/>
      </c>
      <c r="C5" s="11">
        <f>SUMIF(Harcamalar!B:B,A5,Harcamalar!D:D)</f>
        <v/>
      </c>
      <c r="D5" s="12">
        <f>AVERAGEIF(Harcamalar!B:B,A5,Harcamalar!D:D)</f>
        <v/>
      </c>
    </row>
    <row r="6">
      <c r="A6" s="9" t="inlineStr">
        <is>
          <t>Eğlence</t>
        </is>
      </c>
      <c r="B6" s="10">
        <f>COUNTIF(Harcamalar!B:B,A6)</f>
        <v/>
      </c>
      <c r="C6" s="11">
        <f>SUMIF(Harcamalar!B:B,A6,Harcamalar!D:D)</f>
        <v/>
      </c>
      <c r="D6" s="12">
        <f>AVERAGEIF(Harcamalar!B:B,A6,Harcamalar!D:D)</f>
        <v/>
      </c>
    </row>
    <row r="7">
      <c r="A7" s="13" t="inlineStr">
        <is>
          <t>GENEL TOPLAM</t>
        </is>
      </c>
      <c r="B7" s="14">
        <f>SUM(B3:B6)</f>
        <v/>
      </c>
      <c r="C7" s="15">
        <f>SUM(C3:C6)</f>
        <v/>
      </c>
      <c r="D7" s="15">
        <f>AVERAGE(D3:D6)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2026-05-05T21:49:20Z</dcterms:created>
  <dcterms:modified xmlns:dcterms="http://purl.org/dc/terms/" xmlns:xsi="http://www.w3.org/2001/XMLSchema-instance" xsi:type="dcterms:W3CDTF">2026-05-05T21:49:20Z</dcterms:modified>
</cp:coreProperties>
</file>