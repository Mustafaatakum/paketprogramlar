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_Listesi" sheetId="1" state="visible" r:id="rId1"/>
    <sheet xmlns:r="http://schemas.openxmlformats.org/officeDocument/2006/relationships" name="Sorgulama" sheetId="2" state="visible" r:id="rId2"/>
    <sheet xmlns:r="http://schemas.openxmlformats.org/officeDocument/2006/relationships" name="Stok_Analiz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  <color rgb="001f7a4f"/>
      <sz val="11"/>
    </font>
    <font>
      <b val="1"/>
      <color rgb="000000CC"/>
      <sz val="14"/>
    </font>
    <font>
      <b val="1"/>
      <color rgb="001f7a4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d5f0e2"/>
      </patternFill>
    </fill>
    <fill>
      <patternFill patternType="solid">
        <fgColor rgb="00f0f4ff"/>
      </patternFill>
    </fill>
    <fill>
      <patternFill patternType="solid">
        <fgColor rgb="00b8ddb8"/>
      </patternFill>
    </fill>
    <fill>
      <patternFill patternType="solid">
        <fgColor rgb="00fff8cc"/>
      </patternFill>
    </fill>
    <fill>
      <patternFill patternType="solid">
        <fgColor rgb="00eef3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/>
    </xf>
    <xf numFmtId="0" fontId="5" fillId="0" borderId="0" pivotButton="0" quotePrefix="0" xfId="0"/>
    <xf numFmtId="0" fontId="6" fillId="7" borderId="2" applyAlignment="1" pivotButton="0" quotePrefix="0" xfId="0">
      <alignment horizontal="center"/>
    </xf>
    <xf numFmtId="0" fontId="4" fillId="8" borderId="1" applyAlignment="1" pivotButton="0" quotePrefix="0" xfId="0">
      <alignment horizontal="left" indent="1"/>
    </xf>
    <xf numFmtId="0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8" customWidth="1" min="5" max="5"/>
    <col width="16" customWidth="1" min="6" max="6"/>
  </cols>
  <sheetData>
    <row r="1" ht="30" customHeight="1">
      <c r="A1" s="1" t="inlineStr">
        <is>
          <t>ÜRÜN VERİ TABANI</t>
        </is>
      </c>
    </row>
    <row r="2">
      <c r="A2" s="2" t="inlineStr">
        <is>
          <t>Ürün Kodu</t>
        </is>
      </c>
      <c r="B2" s="2" t="inlineStr">
        <is>
          <t>Ürün Adı</t>
        </is>
      </c>
      <c r="C2" s="2" t="inlineStr">
        <is>
          <t>Kategori</t>
        </is>
      </c>
      <c r="D2" s="2" t="inlineStr">
        <is>
          <t>Birim Fiyat</t>
        </is>
      </c>
      <c r="E2" s="2" t="inlineStr">
        <is>
          <t>KDV %</t>
        </is>
      </c>
      <c r="F2" s="2" t="inlineStr">
        <is>
          <t>KDV Dahil</t>
        </is>
      </c>
    </row>
    <row r="3">
      <c r="A3" s="3" t="inlineStr">
        <is>
          <t>U001</t>
        </is>
      </c>
      <c r="B3" s="3" t="inlineStr">
        <is>
          <t>Tükenmez Kalem</t>
        </is>
      </c>
      <c r="C3" s="3" t="inlineStr">
        <is>
          <t>Kırtasiye</t>
        </is>
      </c>
      <c r="D3" s="4" t="n">
        <v>5.5</v>
      </c>
      <c r="E3" s="3" t="inlineStr">
        <is>
          <t>18%</t>
        </is>
      </c>
      <c r="F3" s="5">
        <f>D3*(1+E3/100)</f>
        <v/>
      </c>
    </row>
    <row r="4">
      <c r="A4" s="6" t="inlineStr">
        <is>
          <t>U002</t>
        </is>
      </c>
      <c r="B4" s="6" t="inlineStr">
        <is>
          <t>Spiralli Defter</t>
        </is>
      </c>
      <c r="C4" s="6" t="inlineStr">
        <is>
          <t>Kırtasiye</t>
        </is>
      </c>
      <c r="D4" s="7" t="n">
        <v>22</v>
      </c>
      <c r="E4" s="6" t="inlineStr">
        <is>
          <t>18%</t>
        </is>
      </c>
      <c r="F4" s="8">
        <f>D4*(1+E4/100)</f>
        <v/>
      </c>
    </row>
    <row r="5">
      <c r="A5" s="3" t="inlineStr">
        <is>
          <t>U003</t>
        </is>
      </c>
      <c r="B5" s="3" t="inlineStr">
        <is>
          <t>Silgi</t>
        </is>
      </c>
      <c r="C5" s="3" t="inlineStr">
        <is>
          <t>Kırtasiye</t>
        </is>
      </c>
      <c r="D5" s="4" t="n">
        <v>3</v>
      </c>
      <c r="E5" s="3" t="inlineStr">
        <is>
          <t>18%</t>
        </is>
      </c>
      <c r="F5" s="5">
        <f>D5*(1+E5/100)</f>
        <v/>
      </c>
    </row>
    <row r="6">
      <c r="A6" s="6" t="inlineStr">
        <is>
          <t>U004</t>
        </is>
      </c>
      <c r="B6" s="6" t="inlineStr">
        <is>
          <t>30cm Cetvel</t>
        </is>
      </c>
      <c r="C6" s="6" t="inlineStr">
        <is>
          <t>Kırtasiye</t>
        </is>
      </c>
      <c r="D6" s="7" t="n">
        <v>8.5</v>
      </c>
      <c r="E6" s="6" t="inlineStr">
        <is>
          <t>18%</t>
        </is>
      </c>
      <c r="F6" s="8">
        <f>D6*(1+E6/100)</f>
        <v/>
      </c>
    </row>
    <row r="7">
      <c r="A7" s="3" t="inlineStr">
        <is>
          <t>U005</t>
        </is>
      </c>
      <c r="B7" s="3" t="inlineStr">
        <is>
          <t>Makas</t>
        </is>
      </c>
      <c r="C7" s="3" t="inlineStr">
        <is>
          <t>Kırtasiye</t>
        </is>
      </c>
      <c r="D7" s="4" t="n">
        <v>15</v>
      </c>
      <c r="E7" s="3" t="inlineStr">
        <is>
          <t>18%</t>
        </is>
      </c>
      <c r="F7" s="5">
        <f>D7*(1+E7/100)</f>
        <v/>
      </c>
    </row>
    <row r="8">
      <c r="A8" s="6" t="inlineStr">
        <is>
          <t>U006</t>
        </is>
      </c>
      <c r="B8" s="6" t="inlineStr">
        <is>
          <t>Yapıştırıcı</t>
        </is>
      </c>
      <c r="C8" s="6" t="inlineStr">
        <is>
          <t>Kırtasiye</t>
        </is>
      </c>
      <c r="D8" s="7" t="n">
        <v>7</v>
      </c>
      <c r="E8" s="6" t="inlineStr">
        <is>
          <t>18%</t>
        </is>
      </c>
      <c r="F8" s="8">
        <f>D8*(1+E8/100)</f>
        <v/>
      </c>
    </row>
    <row r="9">
      <c r="A9" s="3" t="inlineStr">
        <is>
          <t>U007</t>
        </is>
      </c>
      <c r="B9" s="3" t="inlineStr">
        <is>
          <t>Renkli Kalemler</t>
        </is>
      </c>
      <c r="C9" s="3" t="inlineStr">
        <is>
          <t>Kırtasiye</t>
        </is>
      </c>
      <c r="D9" s="4" t="n">
        <v>32</v>
      </c>
      <c r="E9" s="3" t="inlineStr">
        <is>
          <t>18%</t>
        </is>
      </c>
      <c r="F9" s="5">
        <f>D9*(1+E9/100)</f>
        <v/>
      </c>
    </row>
    <row r="10">
      <c r="A10" s="6" t="inlineStr">
        <is>
          <t>U008</t>
        </is>
      </c>
      <c r="B10" s="6" t="inlineStr">
        <is>
          <t>Zımba</t>
        </is>
      </c>
      <c r="C10" s="6" t="inlineStr">
        <is>
          <t>Ofis</t>
        </is>
      </c>
      <c r="D10" s="7" t="n">
        <v>28</v>
      </c>
      <c r="E10" s="6" t="inlineStr">
        <is>
          <t>18%</t>
        </is>
      </c>
      <c r="F10" s="8">
        <f>D10*(1+E10/100)</f>
        <v/>
      </c>
    </row>
    <row r="11">
      <c r="A11" s="3" t="inlineStr">
        <is>
          <t>U009</t>
        </is>
      </c>
      <c r="B11" s="3" t="inlineStr">
        <is>
          <t>Delikli Dosya</t>
        </is>
      </c>
      <c r="C11" s="3" t="inlineStr">
        <is>
          <t>Ofis</t>
        </is>
      </c>
      <c r="D11" s="4" t="n">
        <v>6.5</v>
      </c>
      <c r="E11" s="3" t="inlineStr">
        <is>
          <t>18%</t>
        </is>
      </c>
      <c r="F11" s="5">
        <f>D11*(1+E11/100)</f>
        <v/>
      </c>
    </row>
    <row r="12">
      <c r="A12" s="6" t="inlineStr">
        <is>
          <t>U010</t>
        </is>
      </c>
      <c r="B12" s="6" t="inlineStr">
        <is>
          <t>Kâğıt (500 yp)</t>
        </is>
      </c>
      <c r="C12" s="6" t="inlineStr">
        <is>
          <t>Ofis</t>
        </is>
      </c>
      <c r="D12" s="7" t="n">
        <v>45</v>
      </c>
      <c r="E12" s="6" t="inlineStr">
        <is>
          <t>8%</t>
        </is>
      </c>
      <c r="F12" s="8">
        <f>D12*(1+E12/100)</f>
        <v/>
      </c>
    </row>
    <row r="13">
      <c r="A13" s="3" t="inlineStr">
        <is>
          <t>U011</t>
        </is>
      </c>
      <c r="B13" s="3" t="inlineStr">
        <is>
          <t>Kalemtraş</t>
        </is>
      </c>
      <c r="C13" s="3" t="inlineStr">
        <is>
          <t>Kırtasiye</t>
        </is>
      </c>
      <c r="D13" s="4" t="n">
        <v>4</v>
      </c>
      <c r="E13" s="3" t="inlineStr">
        <is>
          <t>18%</t>
        </is>
      </c>
      <c r="F13" s="5">
        <f>D13*(1+E13/100)</f>
        <v/>
      </c>
    </row>
    <row r="14">
      <c r="A14" s="6" t="inlineStr">
        <is>
          <t>U012</t>
        </is>
      </c>
      <c r="B14" s="6" t="inlineStr">
        <is>
          <t>Bant</t>
        </is>
      </c>
      <c r="C14" s="6" t="inlineStr">
        <is>
          <t>Ofis</t>
        </is>
      </c>
      <c r="D14" s="7" t="n">
        <v>9</v>
      </c>
      <c r="E14" s="6" t="inlineStr">
        <is>
          <t>18%</t>
        </is>
      </c>
      <c r="F14" s="8">
        <f>D14*(1+E14/100)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30" customHeight="1">
      <c r="A1" s="1" t="inlineStr">
        <is>
          <t>ÜRÜN FİYAT SORGULAMA FORMU</t>
        </is>
      </c>
    </row>
    <row r="3">
      <c r="A3" s="9" t="inlineStr">
        <is>
          <t>ÜRÜN KODUNU GİRİN:</t>
        </is>
      </c>
      <c r="B3" s="10" t="inlineStr">
        <is>
          <t>U003</t>
        </is>
      </c>
    </row>
    <row r="5">
      <c r="A5" s="9" t="inlineStr">
        <is>
          <t>Sonuçlar:</t>
        </is>
      </c>
    </row>
    <row r="6">
      <c r="A6" s="11" t="inlineStr">
        <is>
          <t>Ürün Adı</t>
        </is>
      </c>
      <c r="B6" s="12">
        <f>IFERROR(VLOOKUP(B3,Urun_Listesi!A:F,2,0),"Bulunamadı")</f>
        <v/>
      </c>
    </row>
    <row r="7">
      <c r="A7" s="11" t="inlineStr">
        <is>
          <t>Kategori</t>
        </is>
      </c>
      <c r="B7" s="12">
        <f>IFERROR(VLOOKUP(B3,Urun_Listesi!A:F,3,0),"—")</f>
        <v/>
      </c>
    </row>
    <row r="8">
      <c r="A8" s="11" t="inlineStr">
        <is>
          <t>Birim Fiyat</t>
        </is>
      </c>
      <c r="B8" s="13">
        <f>IFERROR(VLOOKUP(B3,Urun_Listesi!A:F,4,0),0)</f>
        <v/>
      </c>
    </row>
    <row r="9">
      <c r="A9" s="11" t="inlineStr">
        <is>
          <t>KDV %</t>
        </is>
      </c>
      <c r="B9" s="12">
        <f>IFERROR(VLOOKUP(B3,Urun_Listesi!A:F,5,0),0)</f>
        <v/>
      </c>
    </row>
    <row r="10">
      <c r="A10" s="11" t="inlineStr">
        <is>
          <t>KDV Dahil Fiyat</t>
        </is>
      </c>
      <c r="B10" s="13">
        <f>IFERROR(VLOOKUP(B3,Urun_Listesi!A:F,6,0),0)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 ht="30" customHeight="1">
      <c r="A1" s="1" t="inlineStr">
        <is>
          <t>KATEGORİ BAZLI ÖZET ANALİZ</t>
        </is>
      </c>
    </row>
    <row r="2">
      <c r="A2" s="2" t="inlineStr">
        <is>
          <t>Kategori</t>
        </is>
      </c>
      <c r="B2" s="2" t="inlineStr">
        <is>
          <t>Ürün Sayısı</t>
        </is>
      </c>
      <c r="C2" s="2" t="inlineStr">
        <is>
          <t>Toplam KDV Dahil (TL)</t>
        </is>
      </c>
    </row>
    <row r="3">
      <c r="A3" s="14" t="inlineStr">
        <is>
          <t>Kırtasiye</t>
        </is>
      </c>
      <c r="B3" s="14">
        <f>COUNTIF(Urun_Listesi!C:C,A3)</f>
        <v/>
      </c>
      <c r="C3" s="15">
        <f>SUMIF(Urun_Listesi!C:C,A3,Urun_Listesi!F:F)</f>
        <v/>
      </c>
    </row>
    <row r="4">
      <c r="A4" s="14" t="inlineStr">
        <is>
          <t>Ofis</t>
        </is>
      </c>
      <c r="B4" s="14">
        <f>COUNTIF(Urun_Listesi!C:C,A4)</f>
        <v/>
      </c>
      <c r="C4" s="15">
        <f>SUMIF(Urun_Listesi!C:C,A4,Urun_Listesi!F:F)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2026-05-05T21:49:20Z</dcterms:created>
  <dcterms:modified xmlns:dcterms="http://purl.org/dc/terms/" xmlns:xsi="http://www.w3.org/2001/XMLSchema-instance" xsi:type="dcterms:W3CDTF">2026-05-05T21:49:20Z</dcterms:modified>
</cp:coreProperties>
</file>