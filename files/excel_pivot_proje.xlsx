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_Verileri" sheetId="1" state="visible" r:id="rId1"/>
    <sheet xmlns:r="http://schemas.openxmlformats.org/officeDocument/2006/relationships" name="Bolge_x_Urun_Oz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TL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color rgb="00000000"/>
      <sz val="10"/>
    </font>
    <font>
      <b val="1"/>
      <sz val="10"/>
    </font>
    <font>
      <b val="1"/>
    </font>
    <font>
      <b val="1"/>
      <color rgb="001f7a4f"/>
    </font>
  </fonts>
  <fills count="8">
    <fill>
      <patternFill/>
    </fill>
    <fill>
      <patternFill patternType="gray125"/>
    </fill>
    <fill>
      <patternFill patternType="solid">
        <fgColor rgb="001f7a4f"/>
      </patternFill>
    </fill>
    <fill>
      <patternFill patternType="solid">
        <fgColor rgb="00FFFFFF"/>
      </patternFill>
    </fill>
    <fill>
      <patternFill patternType="solid">
        <fgColor rgb="00d5f0e2"/>
      </patternFill>
    </fill>
    <fill>
      <patternFill patternType="solid">
        <fgColor rgb="00f0f4ff"/>
      </patternFill>
    </fill>
    <fill>
      <patternFill patternType="solid">
        <fgColor rgb="00b8ddb8"/>
      </patternFill>
    </fill>
    <fill>
      <patternFill patternType="solid">
        <fgColor rgb="00eef3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Bölge Bazlı Satış Toplamları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'Bolge_x_Urun_Ozet'!G2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'Bolge_x_Urun_Ozet'!$A$3:$A$6</f>
            </numRef>
          </cat>
          <val>
            <numRef>
              <f>'Bolge_x_Urun_Ozet'!$G$3:$G$6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Toplam Satış (TL)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3" customWidth="1" min="4" max="4"/>
    <col width="10" customWidth="1" min="5" max="5"/>
    <col width="14" customWidth="1" min="6" max="6"/>
    <col width="16" customWidth="1" min="7" max="7"/>
  </cols>
  <sheetData>
    <row r="1" ht="30" customHeight="1">
      <c r="A1" s="1" t="inlineStr">
        <is>
          <t>SATIŞ VERİ TABANI — PivotTable Hazırlık</t>
        </is>
      </c>
    </row>
    <row r="2">
      <c r="A2" s="2" t="inlineStr">
        <is>
          <t>Tarih</t>
        </is>
      </c>
      <c r="B2" s="2" t="inlineStr">
        <is>
          <t>Bölge</t>
        </is>
      </c>
      <c r="C2" s="2" t="inlineStr">
        <is>
          <t>Ürün</t>
        </is>
      </c>
      <c r="D2" s="2" t="inlineStr">
        <is>
          <t>Satışçı</t>
        </is>
      </c>
      <c r="E2" s="2" t="inlineStr">
        <is>
          <t>Miktar</t>
        </is>
      </c>
      <c r="F2" s="2" t="inlineStr">
        <is>
          <t>Birim Fiyat</t>
        </is>
      </c>
      <c r="G2" s="2" t="inlineStr">
        <is>
          <t>Toplam</t>
        </is>
      </c>
    </row>
    <row r="3">
      <c r="A3" s="3" t="inlineStr">
        <is>
          <t>01.01.2025</t>
        </is>
      </c>
      <c r="B3" s="3" t="inlineStr">
        <is>
          <t>Ankara</t>
        </is>
      </c>
      <c r="C3" s="3" t="inlineStr">
        <is>
          <t>Kalem</t>
        </is>
      </c>
      <c r="D3" s="3" t="inlineStr">
        <is>
          <t>Ahmet K.</t>
        </is>
      </c>
      <c r="E3" s="3" t="n">
        <v>101</v>
      </c>
      <c r="F3" s="4" t="n">
        <v>5.5</v>
      </c>
      <c r="G3" s="5">
        <f>E3*F3</f>
        <v/>
      </c>
    </row>
    <row r="4">
      <c r="A4" s="6" t="inlineStr">
        <is>
          <t>08.01.2025</t>
        </is>
      </c>
      <c r="B4" s="6" t="inlineStr">
        <is>
          <t>Ankara</t>
        </is>
      </c>
      <c r="C4" s="6" t="inlineStr">
        <is>
          <t>Defter</t>
        </is>
      </c>
      <c r="D4" s="6" t="inlineStr">
        <is>
          <t>Selin A.</t>
        </is>
      </c>
      <c r="E4" s="6" t="n">
        <v>114</v>
      </c>
      <c r="F4" s="7" t="n">
        <v>12</v>
      </c>
      <c r="G4" s="8">
        <f>E4*F4</f>
        <v/>
      </c>
    </row>
    <row r="5">
      <c r="A5" s="3" t="inlineStr">
        <is>
          <t>24.01.2025</t>
        </is>
      </c>
      <c r="B5" s="3" t="inlineStr">
        <is>
          <t>Ankara</t>
        </is>
      </c>
      <c r="C5" s="3" t="inlineStr">
        <is>
          <t>Silgi</t>
        </is>
      </c>
      <c r="D5" s="3" t="inlineStr">
        <is>
          <t>Ahmet K.</t>
        </is>
      </c>
      <c r="E5" s="3" t="n">
        <v>48</v>
      </c>
      <c r="F5" s="4" t="n">
        <v>3</v>
      </c>
      <c r="G5" s="5">
        <f>E5*F5</f>
        <v/>
      </c>
    </row>
    <row r="6">
      <c r="A6" s="6" t="inlineStr">
        <is>
          <t>19.01.2025</t>
        </is>
      </c>
      <c r="B6" s="6" t="inlineStr">
        <is>
          <t>Ankara</t>
        </is>
      </c>
      <c r="C6" s="6" t="inlineStr">
        <is>
          <t>Makas</t>
        </is>
      </c>
      <c r="D6" s="6" t="inlineStr">
        <is>
          <t>Ahmet K.</t>
        </is>
      </c>
      <c r="E6" s="6" t="n">
        <v>33</v>
      </c>
      <c r="F6" s="7" t="n">
        <v>15</v>
      </c>
      <c r="G6" s="8">
        <f>E6*F6</f>
        <v/>
      </c>
    </row>
    <row r="7">
      <c r="A7" s="3" t="inlineStr">
        <is>
          <t>01.01.2025</t>
        </is>
      </c>
      <c r="B7" s="3" t="inlineStr">
        <is>
          <t>Ankara</t>
        </is>
      </c>
      <c r="C7" s="3" t="inlineStr">
        <is>
          <t>Dosya</t>
        </is>
      </c>
      <c r="D7" s="3" t="inlineStr">
        <is>
          <t>Ahmet K.</t>
        </is>
      </c>
      <c r="E7" s="3" t="n">
        <v>74</v>
      </c>
      <c r="F7" s="4" t="n">
        <v>6.5</v>
      </c>
      <c r="G7" s="5">
        <f>E7*F7</f>
        <v/>
      </c>
    </row>
    <row r="8">
      <c r="A8" s="6" t="inlineStr">
        <is>
          <t>08.01.2025</t>
        </is>
      </c>
      <c r="B8" s="6" t="inlineStr">
        <is>
          <t>İstanbul</t>
        </is>
      </c>
      <c r="C8" s="6" t="inlineStr">
        <is>
          <t>Kalem</t>
        </is>
      </c>
      <c r="D8" s="6" t="inlineStr">
        <is>
          <t>Fatma Y.</t>
        </is>
      </c>
      <c r="E8" s="6" t="n">
        <v>31</v>
      </c>
      <c r="F8" s="7" t="n">
        <v>5.5</v>
      </c>
      <c r="G8" s="8">
        <f>E8*F8</f>
        <v/>
      </c>
    </row>
    <row r="9">
      <c r="A9" s="3" t="inlineStr">
        <is>
          <t>18.01.2025</t>
        </is>
      </c>
      <c r="B9" s="3" t="inlineStr">
        <is>
          <t>İstanbul</t>
        </is>
      </c>
      <c r="C9" s="3" t="inlineStr">
        <is>
          <t>Defter</t>
        </is>
      </c>
      <c r="D9" s="3" t="inlineStr">
        <is>
          <t>Fatma Y.</t>
        </is>
      </c>
      <c r="E9" s="3" t="n">
        <v>84</v>
      </c>
      <c r="F9" s="4" t="n">
        <v>12</v>
      </c>
      <c r="G9" s="5">
        <f>E9*F9</f>
        <v/>
      </c>
    </row>
    <row r="10">
      <c r="A10" s="6" t="inlineStr">
        <is>
          <t>08.01.2025</t>
        </is>
      </c>
      <c r="B10" s="6" t="inlineStr">
        <is>
          <t>İstanbul</t>
        </is>
      </c>
      <c r="C10" s="6" t="inlineStr">
        <is>
          <t>Silgi</t>
        </is>
      </c>
      <c r="D10" s="6" t="inlineStr">
        <is>
          <t>Ali D.</t>
        </is>
      </c>
      <c r="E10" s="6" t="n">
        <v>45</v>
      </c>
      <c r="F10" s="7" t="n">
        <v>3</v>
      </c>
      <c r="G10" s="8">
        <f>E10*F10</f>
        <v/>
      </c>
    </row>
    <row r="11">
      <c r="A11" s="3" t="inlineStr">
        <is>
          <t>26.01.2025</t>
        </is>
      </c>
      <c r="B11" s="3" t="inlineStr">
        <is>
          <t>İstanbul</t>
        </is>
      </c>
      <c r="C11" s="3" t="inlineStr">
        <is>
          <t>Makas</t>
        </is>
      </c>
      <c r="D11" s="3" t="inlineStr">
        <is>
          <t>Ali D.</t>
        </is>
      </c>
      <c r="E11" s="3" t="n">
        <v>77</v>
      </c>
      <c r="F11" s="4" t="n">
        <v>15</v>
      </c>
      <c r="G11" s="5">
        <f>E11*F11</f>
        <v/>
      </c>
    </row>
    <row r="12">
      <c r="A12" s="6" t="inlineStr">
        <is>
          <t>23.01.2025</t>
        </is>
      </c>
      <c r="B12" s="6" t="inlineStr">
        <is>
          <t>İstanbul</t>
        </is>
      </c>
      <c r="C12" s="6" t="inlineStr">
        <is>
          <t>Dosya</t>
        </is>
      </c>
      <c r="D12" s="6" t="inlineStr">
        <is>
          <t>Fatma Y.</t>
        </is>
      </c>
      <c r="E12" s="6" t="n">
        <v>20</v>
      </c>
      <c r="F12" s="7" t="n">
        <v>6.5</v>
      </c>
      <c r="G12" s="8">
        <f>E12*F12</f>
        <v/>
      </c>
    </row>
    <row r="13">
      <c r="A13" s="3" t="inlineStr">
        <is>
          <t>09.01.2025</t>
        </is>
      </c>
      <c r="B13" s="3" t="inlineStr">
        <is>
          <t>İzmir</t>
        </is>
      </c>
      <c r="C13" s="3" t="inlineStr">
        <is>
          <t>Kalem</t>
        </is>
      </c>
      <c r="D13" s="3" t="inlineStr">
        <is>
          <t>Zeynep T.</t>
        </is>
      </c>
      <c r="E13" s="3" t="n">
        <v>74</v>
      </c>
      <c r="F13" s="4" t="n">
        <v>5.5</v>
      </c>
      <c r="G13" s="5">
        <f>E13*F13</f>
        <v/>
      </c>
    </row>
    <row r="14">
      <c r="A14" s="6" t="inlineStr">
        <is>
          <t>25.01.2025</t>
        </is>
      </c>
      <c r="B14" s="6" t="inlineStr">
        <is>
          <t>İzmir</t>
        </is>
      </c>
      <c r="C14" s="6" t="inlineStr">
        <is>
          <t>Defter</t>
        </is>
      </c>
      <c r="D14" s="6" t="inlineStr">
        <is>
          <t>Mehmet C.</t>
        </is>
      </c>
      <c r="E14" s="6" t="n">
        <v>39</v>
      </c>
      <c r="F14" s="7" t="n">
        <v>12</v>
      </c>
      <c r="G14" s="8">
        <f>E14*F14</f>
        <v/>
      </c>
    </row>
    <row r="15">
      <c r="A15" s="3" t="inlineStr">
        <is>
          <t>03.01.2025</t>
        </is>
      </c>
      <c r="B15" s="3" t="inlineStr">
        <is>
          <t>İzmir</t>
        </is>
      </c>
      <c r="C15" s="3" t="inlineStr">
        <is>
          <t>Silgi</t>
        </is>
      </c>
      <c r="D15" s="3" t="inlineStr">
        <is>
          <t>Mehmet C.</t>
        </is>
      </c>
      <c r="E15" s="3" t="n">
        <v>63</v>
      </c>
      <c r="F15" s="4" t="n">
        <v>3</v>
      </c>
      <c r="G15" s="5">
        <f>E15*F15</f>
        <v/>
      </c>
    </row>
    <row r="16">
      <c r="A16" s="6" t="inlineStr">
        <is>
          <t>12.01.2025</t>
        </is>
      </c>
      <c r="B16" s="6" t="inlineStr">
        <is>
          <t>İzmir</t>
        </is>
      </c>
      <c r="C16" s="6" t="inlineStr">
        <is>
          <t>Makas</t>
        </is>
      </c>
      <c r="D16" s="6" t="inlineStr">
        <is>
          <t>Mehmet C.</t>
        </is>
      </c>
      <c r="E16" s="6" t="n">
        <v>68</v>
      </c>
      <c r="F16" s="7" t="n">
        <v>15</v>
      </c>
      <c r="G16" s="8">
        <f>E16*F16</f>
        <v/>
      </c>
    </row>
    <row r="17">
      <c r="A17" s="3" t="inlineStr">
        <is>
          <t>26.01.2025</t>
        </is>
      </c>
      <c r="B17" s="3" t="inlineStr">
        <is>
          <t>İzmir</t>
        </is>
      </c>
      <c r="C17" s="3" t="inlineStr">
        <is>
          <t>Dosya</t>
        </is>
      </c>
      <c r="D17" s="3" t="inlineStr">
        <is>
          <t>Zeynep T.</t>
        </is>
      </c>
      <c r="E17" s="3" t="n">
        <v>64</v>
      </c>
      <c r="F17" s="4" t="n">
        <v>6.5</v>
      </c>
      <c r="G17" s="5">
        <f>E17*F17</f>
        <v/>
      </c>
    </row>
    <row r="18">
      <c r="A18" s="6" t="inlineStr">
        <is>
          <t>18.01.2025</t>
        </is>
      </c>
      <c r="B18" s="6" t="inlineStr">
        <is>
          <t>Bursa</t>
        </is>
      </c>
      <c r="C18" s="6" t="inlineStr">
        <is>
          <t>Kalem</t>
        </is>
      </c>
      <c r="D18" s="6" t="inlineStr">
        <is>
          <t>Merve S.</t>
        </is>
      </c>
      <c r="E18" s="6" t="n">
        <v>25</v>
      </c>
      <c r="F18" s="7" t="n">
        <v>5.5</v>
      </c>
      <c r="G18" s="8">
        <f>E18*F18</f>
        <v/>
      </c>
    </row>
    <row r="19">
      <c r="A19" s="3" t="inlineStr">
        <is>
          <t>03.01.2025</t>
        </is>
      </c>
      <c r="B19" s="3" t="inlineStr">
        <is>
          <t>Bursa</t>
        </is>
      </c>
      <c r="C19" s="3" t="inlineStr">
        <is>
          <t>Defter</t>
        </is>
      </c>
      <c r="D19" s="3" t="inlineStr">
        <is>
          <t>Merve S.</t>
        </is>
      </c>
      <c r="E19" s="3" t="n">
        <v>35</v>
      </c>
      <c r="F19" s="4" t="n">
        <v>12</v>
      </c>
      <c r="G19" s="5">
        <f>E19*F19</f>
        <v/>
      </c>
    </row>
    <row r="20">
      <c r="A20" s="6" t="inlineStr">
        <is>
          <t>27.01.2025</t>
        </is>
      </c>
      <c r="B20" s="6" t="inlineStr">
        <is>
          <t>Bursa</t>
        </is>
      </c>
      <c r="C20" s="6" t="inlineStr">
        <is>
          <t>Silgi</t>
        </is>
      </c>
      <c r="D20" s="6" t="inlineStr">
        <is>
          <t>Merve S.</t>
        </is>
      </c>
      <c r="E20" s="6" t="n">
        <v>90</v>
      </c>
      <c r="F20" s="7" t="n">
        <v>3</v>
      </c>
      <c r="G20" s="8">
        <f>E20*F20</f>
        <v/>
      </c>
    </row>
    <row r="21">
      <c r="A21" s="3" t="inlineStr">
        <is>
          <t>19.01.2025</t>
        </is>
      </c>
      <c r="B21" s="3" t="inlineStr">
        <is>
          <t>Bursa</t>
        </is>
      </c>
      <c r="C21" s="3" t="inlineStr">
        <is>
          <t>Makas</t>
        </is>
      </c>
      <c r="D21" s="3" t="inlineStr">
        <is>
          <t>Merve S.</t>
        </is>
      </c>
      <c r="E21" s="3" t="n">
        <v>100</v>
      </c>
      <c r="F21" s="4" t="n">
        <v>15</v>
      </c>
      <c r="G21" s="5">
        <f>E21*F21</f>
        <v/>
      </c>
    </row>
    <row r="22">
      <c r="A22" s="6" t="inlineStr">
        <is>
          <t>02.01.2025</t>
        </is>
      </c>
      <c r="B22" s="6" t="inlineStr">
        <is>
          <t>Bursa</t>
        </is>
      </c>
      <c r="C22" s="6" t="inlineStr">
        <is>
          <t>Dosya</t>
        </is>
      </c>
      <c r="D22" s="6" t="inlineStr">
        <is>
          <t>Can B.</t>
        </is>
      </c>
      <c r="E22" s="6" t="n">
        <v>44</v>
      </c>
      <c r="F22" s="7" t="n">
        <v>6.5</v>
      </c>
      <c r="G22" s="8">
        <f>E22*F22</f>
        <v/>
      </c>
    </row>
    <row r="23">
      <c r="A23" s="3" t="inlineStr">
        <is>
          <t>25.02.2025</t>
        </is>
      </c>
      <c r="B23" s="3" t="inlineStr">
        <is>
          <t>Ankara</t>
        </is>
      </c>
      <c r="C23" s="3" t="inlineStr">
        <is>
          <t>Kalem</t>
        </is>
      </c>
      <c r="D23" s="3" t="inlineStr">
        <is>
          <t>Ahmet K.</t>
        </is>
      </c>
      <c r="E23" s="3" t="n">
        <v>104</v>
      </c>
      <c r="F23" s="4" t="n">
        <v>5.5</v>
      </c>
      <c r="G23" s="5">
        <f>E23*F23</f>
        <v/>
      </c>
    </row>
    <row r="24">
      <c r="A24" s="6" t="inlineStr">
        <is>
          <t>28.02.2025</t>
        </is>
      </c>
      <c r="B24" s="6" t="inlineStr">
        <is>
          <t>Ankara</t>
        </is>
      </c>
      <c r="C24" s="6" t="inlineStr">
        <is>
          <t>Defter</t>
        </is>
      </c>
      <c r="D24" s="6" t="inlineStr">
        <is>
          <t>Ahmet K.</t>
        </is>
      </c>
      <c r="E24" s="6" t="n">
        <v>57</v>
      </c>
      <c r="F24" s="7" t="n">
        <v>12</v>
      </c>
      <c r="G24" s="8">
        <f>E24*F24</f>
        <v/>
      </c>
    </row>
    <row r="25">
      <c r="A25" s="3" t="inlineStr">
        <is>
          <t>13.02.2025</t>
        </is>
      </c>
      <c r="B25" s="3" t="inlineStr">
        <is>
          <t>Ankara</t>
        </is>
      </c>
      <c r="C25" s="3" t="inlineStr">
        <is>
          <t>Silgi</t>
        </is>
      </c>
      <c r="D25" s="3" t="inlineStr">
        <is>
          <t>Ahmet K.</t>
        </is>
      </c>
      <c r="E25" s="3" t="n">
        <v>49</v>
      </c>
      <c r="F25" s="4" t="n">
        <v>3</v>
      </c>
      <c r="G25" s="5">
        <f>E25*F25</f>
        <v/>
      </c>
    </row>
    <row r="26">
      <c r="A26" s="6" t="inlineStr">
        <is>
          <t>21.02.2025</t>
        </is>
      </c>
      <c r="B26" s="6" t="inlineStr">
        <is>
          <t>Ankara</t>
        </is>
      </c>
      <c r="C26" s="6" t="inlineStr">
        <is>
          <t>Makas</t>
        </is>
      </c>
      <c r="D26" s="6" t="inlineStr">
        <is>
          <t>Selin A.</t>
        </is>
      </c>
      <c r="E26" s="6" t="n">
        <v>55</v>
      </c>
      <c r="F26" s="7" t="n">
        <v>15</v>
      </c>
      <c r="G26" s="8">
        <f>E26*F26</f>
        <v/>
      </c>
    </row>
    <row r="27">
      <c r="A27" s="3" t="inlineStr">
        <is>
          <t>12.02.2025</t>
        </is>
      </c>
      <c r="B27" s="3" t="inlineStr">
        <is>
          <t>Ankara</t>
        </is>
      </c>
      <c r="C27" s="3" t="inlineStr">
        <is>
          <t>Dosya</t>
        </is>
      </c>
      <c r="D27" s="3" t="inlineStr">
        <is>
          <t>Ahmet K.</t>
        </is>
      </c>
      <c r="E27" s="3" t="n">
        <v>66</v>
      </c>
      <c r="F27" s="4" t="n">
        <v>6.5</v>
      </c>
      <c r="G27" s="5">
        <f>E27*F27</f>
        <v/>
      </c>
    </row>
    <row r="28">
      <c r="A28" s="6" t="inlineStr">
        <is>
          <t>22.02.2025</t>
        </is>
      </c>
      <c r="B28" s="6" t="inlineStr">
        <is>
          <t>İstanbul</t>
        </is>
      </c>
      <c r="C28" s="6" t="inlineStr">
        <is>
          <t>Kalem</t>
        </is>
      </c>
      <c r="D28" s="6" t="inlineStr">
        <is>
          <t>Fatma Y.</t>
        </is>
      </c>
      <c r="E28" s="6" t="n">
        <v>65</v>
      </c>
      <c r="F28" s="7" t="n">
        <v>5.5</v>
      </c>
      <c r="G28" s="8">
        <f>E28*F28</f>
        <v/>
      </c>
    </row>
    <row r="29">
      <c r="A29" s="3" t="inlineStr">
        <is>
          <t>20.02.2025</t>
        </is>
      </c>
      <c r="B29" s="3" t="inlineStr">
        <is>
          <t>İstanbul</t>
        </is>
      </c>
      <c r="C29" s="3" t="inlineStr">
        <is>
          <t>Defter</t>
        </is>
      </c>
      <c r="D29" s="3" t="inlineStr">
        <is>
          <t>Fatma Y.</t>
        </is>
      </c>
      <c r="E29" s="3" t="n">
        <v>54</v>
      </c>
      <c r="F29" s="4" t="n">
        <v>12</v>
      </c>
      <c r="G29" s="5">
        <f>E29*F29</f>
        <v/>
      </c>
    </row>
    <row r="30">
      <c r="A30" s="6" t="inlineStr">
        <is>
          <t>18.02.2025</t>
        </is>
      </c>
      <c r="B30" s="6" t="inlineStr">
        <is>
          <t>İstanbul</t>
        </is>
      </c>
      <c r="C30" s="6" t="inlineStr">
        <is>
          <t>Silgi</t>
        </is>
      </c>
      <c r="D30" s="6" t="inlineStr">
        <is>
          <t>Fatma Y.</t>
        </is>
      </c>
      <c r="E30" s="6" t="n">
        <v>101</v>
      </c>
      <c r="F30" s="7" t="n">
        <v>3</v>
      </c>
      <c r="G30" s="8">
        <f>E30*F30</f>
        <v/>
      </c>
    </row>
    <row r="31">
      <c r="A31" s="3" t="inlineStr">
        <is>
          <t>06.02.2025</t>
        </is>
      </c>
      <c r="B31" s="3" t="inlineStr">
        <is>
          <t>İstanbul</t>
        </is>
      </c>
      <c r="C31" s="3" t="inlineStr">
        <is>
          <t>Makas</t>
        </is>
      </c>
      <c r="D31" s="3" t="inlineStr">
        <is>
          <t>Fatma Y.</t>
        </is>
      </c>
      <c r="E31" s="3" t="n">
        <v>113</v>
      </c>
      <c r="F31" s="4" t="n">
        <v>15</v>
      </c>
      <c r="G31" s="5">
        <f>E31*F31</f>
        <v/>
      </c>
    </row>
    <row r="32">
      <c r="A32" s="6" t="inlineStr">
        <is>
          <t>09.02.2025</t>
        </is>
      </c>
      <c r="B32" s="6" t="inlineStr">
        <is>
          <t>İstanbul</t>
        </is>
      </c>
      <c r="C32" s="6" t="inlineStr">
        <is>
          <t>Dosya</t>
        </is>
      </c>
      <c r="D32" s="6" t="inlineStr">
        <is>
          <t>Ali D.</t>
        </is>
      </c>
      <c r="E32" s="6" t="n">
        <v>79</v>
      </c>
      <c r="F32" s="7" t="n">
        <v>6.5</v>
      </c>
      <c r="G32" s="8">
        <f>E32*F32</f>
        <v/>
      </c>
    </row>
    <row r="33">
      <c r="A33" s="3" t="inlineStr">
        <is>
          <t>22.02.2025</t>
        </is>
      </c>
      <c r="B33" s="3" t="inlineStr">
        <is>
          <t>İzmir</t>
        </is>
      </c>
      <c r="C33" s="3" t="inlineStr">
        <is>
          <t>Kalem</t>
        </is>
      </c>
      <c r="D33" s="3" t="inlineStr">
        <is>
          <t>Mehmet C.</t>
        </is>
      </c>
      <c r="E33" s="3" t="n">
        <v>101</v>
      </c>
      <c r="F33" s="4" t="n">
        <v>5.5</v>
      </c>
      <c r="G33" s="5">
        <f>E33*F33</f>
        <v/>
      </c>
    </row>
    <row r="34">
      <c r="A34" s="6" t="inlineStr">
        <is>
          <t>08.02.2025</t>
        </is>
      </c>
      <c r="B34" s="6" t="inlineStr">
        <is>
          <t>İzmir</t>
        </is>
      </c>
      <c r="C34" s="6" t="inlineStr">
        <is>
          <t>Defter</t>
        </is>
      </c>
      <c r="D34" s="6" t="inlineStr">
        <is>
          <t>Mehmet C.</t>
        </is>
      </c>
      <c r="E34" s="6" t="n">
        <v>61</v>
      </c>
      <c r="F34" s="7" t="n">
        <v>12</v>
      </c>
      <c r="G34" s="8">
        <f>E34*F34</f>
        <v/>
      </c>
    </row>
    <row r="35">
      <c r="A35" s="3" t="inlineStr">
        <is>
          <t>13.02.2025</t>
        </is>
      </c>
      <c r="B35" s="3" t="inlineStr">
        <is>
          <t>İzmir</t>
        </is>
      </c>
      <c r="C35" s="3" t="inlineStr">
        <is>
          <t>Silgi</t>
        </is>
      </c>
      <c r="D35" s="3" t="inlineStr">
        <is>
          <t>Zeynep T.</t>
        </is>
      </c>
      <c r="E35" s="3" t="n">
        <v>24</v>
      </c>
      <c r="F35" s="4" t="n">
        <v>3</v>
      </c>
      <c r="G35" s="5">
        <f>E35*F35</f>
        <v/>
      </c>
    </row>
    <row r="36">
      <c r="A36" s="6" t="inlineStr">
        <is>
          <t>07.02.2025</t>
        </is>
      </c>
      <c r="B36" s="6" t="inlineStr">
        <is>
          <t>İzmir</t>
        </is>
      </c>
      <c r="C36" s="6" t="inlineStr">
        <is>
          <t>Makas</t>
        </is>
      </c>
      <c r="D36" s="6" t="inlineStr">
        <is>
          <t>Mehmet C.</t>
        </is>
      </c>
      <c r="E36" s="6" t="n">
        <v>54</v>
      </c>
      <c r="F36" s="7" t="n">
        <v>15</v>
      </c>
      <c r="G36" s="8">
        <f>E36*F36</f>
        <v/>
      </c>
    </row>
    <row r="37">
      <c r="A37" s="3" t="inlineStr">
        <is>
          <t>07.02.2025</t>
        </is>
      </c>
      <c r="B37" s="3" t="inlineStr">
        <is>
          <t>İzmir</t>
        </is>
      </c>
      <c r="C37" s="3" t="inlineStr">
        <is>
          <t>Dosya</t>
        </is>
      </c>
      <c r="D37" s="3" t="inlineStr">
        <is>
          <t>Zeynep T.</t>
        </is>
      </c>
      <c r="E37" s="3" t="n">
        <v>92</v>
      </c>
      <c r="F37" s="4" t="n">
        <v>6.5</v>
      </c>
      <c r="G37" s="5">
        <f>E37*F37</f>
        <v/>
      </c>
    </row>
    <row r="38">
      <c r="A38" s="6" t="inlineStr">
        <is>
          <t>13.02.2025</t>
        </is>
      </c>
      <c r="B38" s="6" t="inlineStr">
        <is>
          <t>Bursa</t>
        </is>
      </c>
      <c r="C38" s="6" t="inlineStr">
        <is>
          <t>Kalem</t>
        </is>
      </c>
      <c r="D38" s="6" t="inlineStr">
        <is>
          <t>Merve S.</t>
        </is>
      </c>
      <c r="E38" s="6" t="n">
        <v>103</v>
      </c>
      <c r="F38" s="7" t="n">
        <v>5.5</v>
      </c>
      <c r="G38" s="8">
        <f>E38*F38</f>
        <v/>
      </c>
    </row>
    <row r="39">
      <c r="A39" s="3" t="inlineStr">
        <is>
          <t>05.02.2025</t>
        </is>
      </c>
      <c r="B39" s="3" t="inlineStr">
        <is>
          <t>Bursa</t>
        </is>
      </c>
      <c r="C39" s="3" t="inlineStr">
        <is>
          <t>Defter</t>
        </is>
      </c>
      <c r="D39" s="3" t="inlineStr">
        <is>
          <t>Merve S.</t>
        </is>
      </c>
      <c r="E39" s="3" t="n">
        <v>102</v>
      </c>
      <c r="F39" s="4" t="n">
        <v>12</v>
      </c>
      <c r="G39" s="5">
        <f>E39*F39</f>
        <v/>
      </c>
    </row>
    <row r="40">
      <c r="A40" s="6" t="inlineStr">
        <is>
          <t>08.02.2025</t>
        </is>
      </c>
      <c r="B40" s="6" t="inlineStr">
        <is>
          <t>Bursa</t>
        </is>
      </c>
      <c r="C40" s="6" t="inlineStr">
        <is>
          <t>Silgi</t>
        </is>
      </c>
      <c r="D40" s="6" t="inlineStr">
        <is>
          <t>Can B.</t>
        </is>
      </c>
      <c r="E40" s="6" t="n">
        <v>53</v>
      </c>
      <c r="F40" s="7" t="n">
        <v>3</v>
      </c>
      <c r="G40" s="8">
        <f>E40*F40</f>
        <v/>
      </c>
    </row>
    <row r="41">
      <c r="A41" s="3" t="inlineStr">
        <is>
          <t>24.02.2025</t>
        </is>
      </c>
      <c r="B41" s="3" t="inlineStr">
        <is>
          <t>Bursa</t>
        </is>
      </c>
      <c r="C41" s="3" t="inlineStr">
        <is>
          <t>Makas</t>
        </is>
      </c>
      <c r="D41" s="3" t="inlineStr">
        <is>
          <t>Merve S.</t>
        </is>
      </c>
      <c r="E41" s="3" t="n">
        <v>115</v>
      </c>
      <c r="F41" s="4" t="n">
        <v>15</v>
      </c>
      <c r="G41" s="5">
        <f>E41*F41</f>
        <v/>
      </c>
    </row>
    <row r="42">
      <c r="A42" s="6" t="inlineStr">
        <is>
          <t>19.02.2025</t>
        </is>
      </c>
      <c r="B42" s="6" t="inlineStr">
        <is>
          <t>Bursa</t>
        </is>
      </c>
      <c r="C42" s="6" t="inlineStr">
        <is>
          <t>Dosya</t>
        </is>
      </c>
      <c r="D42" s="6" t="inlineStr">
        <is>
          <t>Merve S.</t>
        </is>
      </c>
      <c r="E42" s="6" t="n">
        <v>94</v>
      </c>
      <c r="F42" s="7" t="n">
        <v>6.5</v>
      </c>
      <c r="G42" s="8">
        <f>E42*F42</f>
        <v/>
      </c>
    </row>
    <row r="43">
      <c r="A43" s="3" t="inlineStr">
        <is>
          <t>08.03.2025</t>
        </is>
      </c>
      <c r="B43" s="3" t="inlineStr">
        <is>
          <t>Ankara</t>
        </is>
      </c>
      <c r="C43" s="3" t="inlineStr">
        <is>
          <t>Kalem</t>
        </is>
      </c>
      <c r="D43" s="3" t="inlineStr">
        <is>
          <t>Selin A.</t>
        </is>
      </c>
      <c r="E43" s="3" t="n">
        <v>71</v>
      </c>
      <c r="F43" s="4" t="n">
        <v>5.5</v>
      </c>
      <c r="G43" s="5">
        <f>E43*F43</f>
        <v/>
      </c>
    </row>
    <row r="44">
      <c r="A44" s="6" t="inlineStr">
        <is>
          <t>03.03.2025</t>
        </is>
      </c>
      <c r="B44" s="6" t="inlineStr">
        <is>
          <t>Ankara</t>
        </is>
      </c>
      <c r="C44" s="6" t="inlineStr">
        <is>
          <t>Defter</t>
        </is>
      </c>
      <c r="D44" s="6" t="inlineStr">
        <is>
          <t>Selin A.</t>
        </is>
      </c>
      <c r="E44" s="6" t="n">
        <v>37</v>
      </c>
      <c r="F44" s="7" t="n">
        <v>12</v>
      </c>
      <c r="G44" s="8">
        <f>E44*F44</f>
        <v/>
      </c>
    </row>
    <row r="45">
      <c r="A45" s="3" t="inlineStr">
        <is>
          <t>28.03.2025</t>
        </is>
      </c>
      <c r="B45" s="3" t="inlineStr">
        <is>
          <t>Ankara</t>
        </is>
      </c>
      <c r="C45" s="3" t="inlineStr">
        <is>
          <t>Silgi</t>
        </is>
      </c>
      <c r="D45" s="3" t="inlineStr">
        <is>
          <t>Ahmet K.</t>
        </is>
      </c>
      <c r="E45" s="3" t="n">
        <v>116</v>
      </c>
      <c r="F45" s="4" t="n">
        <v>3</v>
      </c>
      <c r="G45" s="5">
        <f>E45*F45</f>
        <v/>
      </c>
    </row>
    <row r="46">
      <c r="A46" s="6" t="inlineStr">
        <is>
          <t>21.03.2025</t>
        </is>
      </c>
      <c r="B46" s="6" t="inlineStr">
        <is>
          <t>Ankara</t>
        </is>
      </c>
      <c r="C46" s="6" t="inlineStr">
        <is>
          <t>Makas</t>
        </is>
      </c>
      <c r="D46" s="6" t="inlineStr">
        <is>
          <t>Ahmet K.</t>
        </is>
      </c>
      <c r="E46" s="6" t="n">
        <v>34</v>
      </c>
      <c r="F46" s="7" t="n">
        <v>15</v>
      </c>
      <c r="G46" s="8">
        <f>E46*F46</f>
        <v/>
      </c>
    </row>
    <row r="47">
      <c r="A47" s="3" t="inlineStr">
        <is>
          <t>20.03.2025</t>
        </is>
      </c>
      <c r="B47" s="3" t="inlineStr">
        <is>
          <t>Ankara</t>
        </is>
      </c>
      <c r="C47" s="3" t="inlineStr">
        <is>
          <t>Dosya</t>
        </is>
      </c>
      <c r="D47" s="3" t="inlineStr">
        <is>
          <t>Selin A.</t>
        </is>
      </c>
      <c r="E47" s="3" t="n">
        <v>40</v>
      </c>
      <c r="F47" s="4" t="n">
        <v>6.5</v>
      </c>
      <c r="G47" s="5">
        <f>E47*F47</f>
        <v/>
      </c>
    </row>
    <row r="48">
      <c r="A48" s="6" t="inlineStr">
        <is>
          <t>13.03.2025</t>
        </is>
      </c>
      <c r="B48" s="6" t="inlineStr">
        <is>
          <t>İstanbul</t>
        </is>
      </c>
      <c r="C48" s="6" t="inlineStr">
        <is>
          <t>Kalem</t>
        </is>
      </c>
      <c r="D48" s="6" t="inlineStr">
        <is>
          <t>Ali D.</t>
        </is>
      </c>
      <c r="E48" s="6" t="n">
        <v>28</v>
      </c>
      <c r="F48" s="7" t="n">
        <v>5.5</v>
      </c>
      <c r="G48" s="8">
        <f>E48*F48</f>
        <v/>
      </c>
    </row>
    <row r="49">
      <c r="A49" s="3" t="inlineStr">
        <is>
          <t>17.03.2025</t>
        </is>
      </c>
      <c r="B49" s="3" t="inlineStr">
        <is>
          <t>İstanbul</t>
        </is>
      </c>
      <c r="C49" s="3" t="inlineStr">
        <is>
          <t>Defter</t>
        </is>
      </c>
      <c r="D49" s="3" t="inlineStr">
        <is>
          <t>Ali D.</t>
        </is>
      </c>
      <c r="E49" s="3" t="n">
        <v>96</v>
      </c>
      <c r="F49" s="4" t="n">
        <v>12</v>
      </c>
      <c r="G49" s="5">
        <f>E49*F49</f>
        <v/>
      </c>
    </row>
    <row r="50">
      <c r="A50" s="6" t="inlineStr">
        <is>
          <t>22.03.2025</t>
        </is>
      </c>
      <c r="B50" s="6" t="inlineStr">
        <is>
          <t>İstanbul</t>
        </is>
      </c>
      <c r="C50" s="6" t="inlineStr">
        <is>
          <t>Silgi</t>
        </is>
      </c>
      <c r="D50" s="6" t="inlineStr">
        <is>
          <t>Fatma Y.</t>
        </is>
      </c>
      <c r="E50" s="6" t="n">
        <v>52</v>
      </c>
      <c r="F50" s="7" t="n">
        <v>3</v>
      </c>
      <c r="G50" s="8">
        <f>E50*F50</f>
        <v/>
      </c>
    </row>
    <row r="51">
      <c r="A51" s="3" t="inlineStr">
        <is>
          <t>22.03.2025</t>
        </is>
      </c>
      <c r="B51" s="3" t="inlineStr">
        <is>
          <t>İstanbul</t>
        </is>
      </c>
      <c r="C51" s="3" t="inlineStr">
        <is>
          <t>Makas</t>
        </is>
      </c>
      <c r="D51" s="3" t="inlineStr">
        <is>
          <t>Fatma Y.</t>
        </is>
      </c>
      <c r="E51" s="3" t="n">
        <v>112</v>
      </c>
      <c r="F51" s="4" t="n">
        <v>15</v>
      </c>
      <c r="G51" s="5">
        <f>E51*F51</f>
        <v/>
      </c>
    </row>
    <row r="52">
      <c r="A52" s="6" t="inlineStr">
        <is>
          <t>25.03.2025</t>
        </is>
      </c>
      <c r="B52" s="6" t="inlineStr">
        <is>
          <t>İstanbul</t>
        </is>
      </c>
      <c r="C52" s="6" t="inlineStr">
        <is>
          <t>Dosya</t>
        </is>
      </c>
      <c r="D52" s="6" t="inlineStr">
        <is>
          <t>Ali D.</t>
        </is>
      </c>
      <c r="E52" s="6" t="n">
        <v>88</v>
      </c>
      <c r="F52" s="7" t="n">
        <v>6.5</v>
      </c>
      <c r="G52" s="8">
        <f>E52*F52</f>
        <v/>
      </c>
    </row>
    <row r="53">
      <c r="A53" s="3" t="inlineStr">
        <is>
          <t>04.03.2025</t>
        </is>
      </c>
      <c r="B53" s="3" t="inlineStr">
        <is>
          <t>İzmir</t>
        </is>
      </c>
      <c r="C53" s="3" t="inlineStr">
        <is>
          <t>Kalem</t>
        </is>
      </c>
      <c r="D53" s="3" t="inlineStr">
        <is>
          <t>Zeynep T.</t>
        </is>
      </c>
      <c r="E53" s="3" t="n">
        <v>102</v>
      </c>
      <c r="F53" s="4" t="n">
        <v>5.5</v>
      </c>
      <c r="G53" s="5">
        <f>E53*F53</f>
        <v/>
      </c>
    </row>
    <row r="54">
      <c r="A54" s="6" t="inlineStr">
        <is>
          <t>06.03.2025</t>
        </is>
      </c>
      <c r="B54" s="6" t="inlineStr">
        <is>
          <t>İzmir</t>
        </is>
      </c>
      <c r="C54" s="6" t="inlineStr">
        <is>
          <t>Defter</t>
        </is>
      </c>
      <c r="D54" s="6" t="inlineStr">
        <is>
          <t>Zeynep T.</t>
        </is>
      </c>
      <c r="E54" s="6" t="n">
        <v>57</v>
      </c>
      <c r="F54" s="7" t="n">
        <v>12</v>
      </c>
      <c r="G54" s="8">
        <f>E54*F54</f>
        <v/>
      </c>
    </row>
    <row r="55">
      <c r="A55" s="3" t="inlineStr">
        <is>
          <t>24.03.2025</t>
        </is>
      </c>
      <c r="B55" s="3" t="inlineStr">
        <is>
          <t>İzmir</t>
        </is>
      </c>
      <c r="C55" s="3" t="inlineStr">
        <is>
          <t>Silgi</t>
        </is>
      </c>
      <c r="D55" s="3" t="inlineStr">
        <is>
          <t>Mehmet C.</t>
        </is>
      </c>
      <c r="E55" s="3" t="n">
        <v>78</v>
      </c>
      <c r="F55" s="4" t="n">
        <v>3</v>
      </c>
      <c r="G55" s="5">
        <f>E55*F55</f>
        <v/>
      </c>
    </row>
    <row r="56">
      <c r="A56" s="6" t="inlineStr">
        <is>
          <t>17.03.2025</t>
        </is>
      </c>
      <c r="B56" s="6" t="inlineStr">
        <is>
          <t>İzmir</t>
        </is>
      </c>
      <c r="C56" s="6" t="inlineStr">
        <is>
          <t>Makas</t>
        </is>
      </c>
      <c r="D56" s="6" t="inlineStr">
        <is>
          <t>Zeynep T.</t>
        </is>
      </c>
      <c r="E56" s="6" t="n">
        <v>112</v>
      </c>
      <c r="F56" s="7" t="n">
        <v>15</v>
      </c>
      <c r="G56" s="8">
        <f>E56*F56</f>
        <v/>
      </c>
    </row>
    <row r="57">
      <c r="A57" s="3" t="inlineStr">
        <is>
          <t>17.03.2025</t>
        </is>
      </c>
      <c r="B57" s="3" t="inlineStr">
        <is>
          <t>İzmir</t>
        </is>
      </c>
      <c r="C57" s="3" t="inlineStr">
        <is>
          <t>Dosya</t>
        </is>
      </c>
      <c r="D57" s="3" t="inlineStr">
        <is>
          <t>Mehmet C.</t>
        </is>
      </c>
      <c r="E57" s="3" t="n">
        <v>117</v>
      </c>
      <c r="F57" s="4" t="n">
        <v>6.5</v>
      </c>
      <c r="G57" s="5">
        <f>E57*F57</f>
        <v/>
      </c>
    </row>
    <row r="58">
      <c r="A58" s="6" t="inlineStr">
        <is>
          <t>27.03.2025</t>
        </is>
      </c>
      <c r="B58" s="6" t="inlineStr">
        <is>
          <t>Bursa</t>
        </is>
      </c>
      <c r="C58" s="6" t="inlineStr">
        <is>
          <t>Kalem</t>
        </is>
      </c>
      <c r="D58" s="6" t="inlineStr">
        <is>
          <t>Merve S.</t>
        </is>
      </c>
      <c r="E58" s="6" t="n">
        <v>33</v>
      </c>
      <c r="F58" s="7" t="n">
        <v>5.5</v>
      </c>
      <c r="G58" s="8">
        <f>E58*F58</f>
        <v/>
      </c>
    </row>
    <row r="59">
      <c r="A59" s="3" t="inlineStr">
        <is>
          <t>05.03.2025</t>
        </is>
      </c>
      <c r="B59" s="3" t="inlineStr">
        <is>
          <t>Bursa</t>
        </is>
      </c>
      <c r="C59" s="3" t="inlineStr">
        <is>
          <t>Defter</t>
        </is>
      </c>
      <c r="D59" s="3" t="inlineStr">
        <is>
          <t>Can B.</t>
        </is>
      </c>
      <c r="E59" s="3" t="n">
        <v>101</v>
      </c>
      <c r="F59" s="4" t="n">
        <v>12</v>
      </c>
      <c r="G59" s="5">
        <f>E59*F59</f>
        <v/>
      </c>
    </row>
    <row r="60">
      <c r="A60" s="6" t="inlineStr">
        <is>
          <t>18.03.2025</t>
        </is>
      </c>
      <c r="B60" s="6" t="inlineStr">
        <is>
          <t>Bursa</t>
        </is>
      </c>
      <c r="C60" s="6" t="inlineStr">
        <is>
          <t>Silgi</t>
        </is>
      </c>
      <c r="D60" s="6" t="inlineStr">
        <is>
          <t>Can B.</t>
        </is>
      </c>
      <c r="E60" s="6" t="n">
        <v>67</v>
      </c>
      <c r="F60" s="7" t="n">
        <v>3</v>
      </c>
      <c r="G60" s="8">
        <f>E60*F60</f>
        <v/>
      </c>
    </row>
    <row r="61">
      <c r="A61" s="3" t="inlineStr">
        <is>
          <t>20.03.2025</t>
        </is>
      </c>
      <c r="B61" s="3" t="inlineStr">
        <is>
          <t>Bursa</t>
        </is>
      </c>
      <c r="C61" s="3" t="inlineStr">
        <is>
          <t>Makas</t>
        </is>
      </c>
      <c r="D61" s="3" t="inlineStr">
        <is>
          <t>Can B.</t>
        </is>
      </c>
      <c r="E61" s="3" t="n">
        <v>119</v>
      </c>
      <c r="F61" s="4" t="n">
        <v>15</v>
      </c>
      <c r="G61" s="5">
        <f>E61*F61</f>
        <v/>
      </c>
    </row>
    <row r="62">
      <c r="A62" s="6" t="inlineStr">
        <is>
          <t>01.03.2025</t>
        </is>
      </c>
      <c r="B62" s="6" t="inlineStr">
        <is>
          <t>Bursa</t>
        </is>
      </c>
      <c r="C62" s="6" t="inlineStr">
        <is>
          <t>Dosya</t>
        </is>
      </c>
      <c r="D62" s="6" t="inlineStr">
        <is>
          <t>Merve S.</t>
        </is>
      </c>
      <c r="E62" s="6" t="n">
        <v>61</v>
      </c>
      <c r="F62" s="7" t="n">
        <v>6.5</v>
      </c>
      <c r="G62" s="8">
        <f>E62*F62</f>
        <v/>
      </c>
    </row>
    <row r="63">
      <c r="A63" s="3" t="inlineStr">
        <is>
          <t>27.04.2025</t>
        </is>
      </c>
      <c r="B63" s="3" t="inlineStr">
        <is>
          <t>Ankara</t>
        </is>
      </c>
      <c r="C63" s="3" t="inlineStr">
        <is>
          <t>Kalem</t>
        </is>
      </c>
      <c r="D63" s="3" t="inlineStr">
        <is>
          <t>Selin A.</t>
        </is>
      </c>
      <c r="E63" s="3" t="n">
        <v>34</v>
      </c>
      <c r="F63" s="4" t="n">
        <v>5.5</v>
      </c>
      <c r="G63" s="5">
        <f>E63*F63</f>
        <v/>
      </c>
    </row>
    <row r="64">
      <c r="A64" s="6" t="inlineStr">
        <is>
          <t>02.04.2025</t>
        </is>
      </c>
      <c r="B64" s="6" t="inlineStr">
        <is>
          <t>Ankara</t>
        </is>
      </c>
      <c r="C64" s="6" t="inlineStr">
        <is>
          <t>Defter</t>
        </is>
      </c>
      <c r="D64" s="6" t="inlineStr">
        <is>
          <t>Ahmet K.</t>
        </is>
      </c>
      <c r="E64" s="6" t="n">
        <v>59</v>
      </c>
      <c r="F64" s="7" t="n">
        <v>12</v>
      </c>
      <c r="G64" s="8">
        <f>E64*F64</f>
        <v/>
      </c>
    </row>
    <row r="65">
      <c r="A65" s="3" t="inlineStr">
        <is>
          <t>03.04.2025</t>
        </is>
      </c>
      <c r="B65" s="3" t="inlineStr">
        <is>
          <t>Ankara</t>
        </is>
      </c>
      <c r="C65" s="3" t="inlineStr">
        <is>
          <t>Silgi</t>
        </is>
      </c>
      <c r="D65" s="3" t="inlineStr">
        <is>
          <t>Ahmet K.</t>
        </is>
      </c>
      <c r="E65" s="3" t="n">
        <v>50</v>
      </c>
      <c r="F65" s="4" t="n">
        <v>3</v>
      </c>
      <c r="G65" s="5">
        <f>E65*F65</f>
        <v/>
      </c>
    </row>
    <row r="66">
      <c r="A66" s="6" t="inlineStr">
        <is>
          <t>27.04.2025</t>
        </is>
      </c>
      <c r="B66" s="6" t="inlineStr">
        <is>
          <t>Ankara</t>
        </is>
      </c>
      <c r="C66" s="6" t="inlineStr">
        <is>
          <t>Makas</t>
        </is>
      </c>
      <c r="D66" s="6" t="inlineStr">
        <is>
          <t>Selin A.</t>
        </is>
      </c>
      <c r="E66" s="6" t="n">
        <v>113</v>
      </c>
      <c r="F66" s="7" t="n">
        <v>15</v>
      </c>
      <c r="G66" s="8">
        <f>E66*F66</f>
        <v/>
      </c>
    </row>
    <row r="67">
      <c r="A67" s="3" t="inlineStr">
        <is>
          <t>05.04.2025</t>
        </is>
      </c>
      <c r="B67" s="3" t="inlineStr">
        <is>
          <t>Ankara</t>
        </is>
      </c>
      <c r="C67" s="3" t="inlineStr">
        <is>
          <t>Dosya</t>
        </is>
      </c>
      <c r="D67" s="3" t="inlineStr">
        <is>
          <t>Ahmet K.</t>
        </is>
      </c>
      <c r="E67" s="3" t="n">
        <v>28</v>
      </c>
      <c r="F67" s="4" t="n">
        <v>6.5</v>
      </c>
      <c r="G67" s="5">
        <f>E67*F67</f>
        <v/>
      </c>
    </row>
    <row r="68">
      <c r="A68" s="6" t="inlineStr">
        <is>
          <t>18.04.2025</t>
        </is>
      </c>
      <c r="B68" s="6" t="inlineStr">
        <is>
          <t>İstanbul</t>
        </is>
      </c>
      <c r="C68" s="6" t="inlineStr">
        <is>
          <t>Kalem</t>
        </is>
      </c>
      <c r="D68" s="6" t="inlineStr">
        <is>
          <t>Ali D.</t>
        </is>
      </c>
      <c r="E68" s="6" t="n">
        <v>104</v>
      </c>
      <c r="F68" s="7" t="n">
        <v>5.5</v>
      </c>
      <c r="G68" s="8">
        <f>E68*F68</f>
        <v/>
      </c>
    </row>
    <row r="69">
      <c r="A69" s="3" t="inlineStr">
        <is>
          <t>17.04.2025</t>
        </is>
      </c>
      <c r="B69" s="3" t="inlineStr">
        <is>
          <t>İstanbul</t>
        </is>
      </c>
      <c r="C69" s="3" t="inlineStr">
        <is>
          <t>Defter</t>
        </is>
      </c>
      <c r="D69" s="3" t="inlineStr">
        <is>
          <t>Ali D.</t>
        </is>
      </c>
      <c r="E69" s="3" t="n">
        <v>41</v>
      </c>
      <c r="F69" s="4" t="n">
        <v>12</v>
      </c>
      <c r="G69" s="5">
        <f>E69*F69</f>
        <v/>
      </c>
    </row>
    <row r="70">
      <c r="A70" s="6" t="inlineStr">
        <is>
          <t>07.04.2025</t>
        </is>
      </c>
      <c r="B70" s="6" t="inlineStr">
        <is>
          <t>İstanbul</t>
        </is>
      </c>
      <c r="C70" s="6" t="inlineStr">
        <is>
          <t>Silgi</t>
        </is>
      </c>
      <c r="D70" s="6" t="inlineStr">
        <is>
          <t>Ali D.</t>
        </is>
      </c>
      <c r="E70" s="6" t="n">
        <v>97</v>
      </c>
      <c r="F70" s="7" t="n">
        <v>3</v>
      </c>
      <c r="G70" s="8">
        <f>E70*F70</f>
        <v/>
      </c>
    </row>
    <row r="71">
      <c r="A71" s="3" t="inlineStr">
        <is>
          <t>23.04.2025</t>
        </is>
      </c>
      <c r="B71" s="3" t="inlineStr">
        <is>
          <t>İstanbul</t>
        </is>
      </c>
      <c r="C71" s="3" t="inlineStr">
        <is>
          <t>Makas</t>
        </is>
      </c>
      <c r="D71" s="3" t="inlineStr">
        <is>
          <t>Fatma Y.</t>
        </is>
      </c>
      <c r="E71" s="3" t="n">
        <v>89</v>
      </c>
      <c r="F71" s="4" t="n">
        <v>15</v>
      </c>
      <c r="G71" s="5">
        <f>E71*F71</f>
        <v/>
      </c>
    </row>
    <row r="72">
      <c r="A72" s="6" t="inlineStr">
        <is>
          <t>22.04.2025</t>
        </is>
      </c>
      <c r="B72" s="6" t="inlineStr">
        <is>
          <t>İstanbul</t>
        </is>
      </c>
      <c r="C72" s="6" t="inlineStr">
        <is>
          <t>Dosya</t>
        </is>
      </c>
      <c r="D72" s="6" t="inlineStr">
        <is>
          <t>Ali D.</t>
        </is>
      </c>
      <c r="E72" s="6" t="n">
        <v>59</v>
      </c>
      <c r="F72" s="7" t="n">
        <v>6.5</v>
      </c>
      <c r="G72" s="8">
        <f>E72*F72</f>
        <v/>
      </c>
    </row>
    <row r="73">
      <c r="A73" s="3" t="inlineStr">
        <is>
          <t>15.04.2025</t>
        </is>
      </c>
      <c r="B73" s="3" t="inlineStr">
        <is>
          <t>İzmir</t>
        </is>
      </c>
      <c r="C73" s="3" t="inlineStr">
        <is>
          <t>Kalem</t>
        </is>
      </c>
      <c r="D73" s="3" t="inlineStr">
        <is>
          <t>Zeynep T.</t>
        </is>
      </c>
      <c r="E73" s="3" t="n">
        <v>103</v>
      </c>
      <c r="F73" s="4" t="n">
        <v>5.5</v>
      </c>
      <c r="G73" s="5">
        <f>E73*F73</f>
        <v/>
      </c>
    </row>
    <row r="74">
      <c r="A74" s="6" t="inlineStr">
        <is>
          <t>04.04.2025</t>
        </is>
      </c>
      <c r="B74" s="6" t="inlineStr">
        <is>
          <t>İzmir</t>
        </is>
      </c>
      <c r="C74" s="6" t="inlineStr">
        <is>
          <t>Defter</t>
        </is>
      </c>
      <c r="D74" s="6" t="inlineStr">
        <is>
          <t>Zeynep T.</t>
        </is>
      </c>
      <c r="E74" s="6" t="n">
        <v>86</v>
      </c>
      <c r="F74" s="7" t="n">
        <v>12</v>
      </c>
      <c r="G74" s="8">
        <f>E74*F74</f>
        <v/>
      </c>
    </row>
    <row r="75">
      <c r="A75" s="3" t="inlineStr">
        <is>
          <t>03.04.2025</t>
        </is>
      </c>
      <c r="B75" s="3" t="inlineStr">
        <is>
          <t>İzmir</t>
        </is>
      </c>
      <c r="C75" s="3" t="inlineStr">
        <is>
          <t>Silgi</t>
        </is>
      </c>
      <c r="D75" s="3" t="inlineStr">
        <is>
          <t>Mehmet C.</t>
        </is>
      </c>
      <c r="E75" s="3" t="n">
        <v>51</v>
      </c>
      <c r="F75" s="4" t="n">
        <v>3</v>
      </c>
      <c r="G75" s="5">
        <f>E75*F75</f>
        <v/>
      </c>
    </row>
    <row r="76">
      <c r="A76" s="6" t="inlineStr">
        <is>
          <t>19.04.2025</t>
        </is>
      </c>
      <c r="B76" s="6" t="inlineStr">
        <is>
          <t>İzmir</t>
        </is>
      </c>
      <c r="C76" s="6" t="inlineStr">
        <is>
          <t>Makas</t>
        </is>
      </c>
      <c r="D76" s="6" t="inlineStr">
        <is>
          <t>Mehmet C.</t>
        </is>
      </c>
      <c r="E76" s="6" t="n">
        <v>63</v>
      </c>
      <c r="F76" s="7" t="n">
        <v>15</v>
      </c>
      <c r="G76" s="8">
        <f>E76*F76</f>
        <v/>
      </c>
    </row>
    <row r="77">
      <c r="A77" s="3" t="inlineStr">
        <is>
          <t>19.04.2025</t>
        </is>
      </c>
      <c r="B77" s="3" t="inlineStr">
        <is>
          <t>İzmir</t>
        </is>
      </c>
      <c r="C77" s="3" t="inlineStr">
        <is>
          <t>Dosya</t>
        </is>
      </c>
      <c r="D77" s="3" t="inlineStr">
        <is>
          <t>Mehmet C.</t>
        </is>
      </c>
      <c r="E77" s="3" t="n">
        <v>90</v>
      </c>
      <c r="F77" s="4" t="n">
        <v>6.5</v>
      </c>
      <c r="G77" s="5">
        <f>E77*F77</f>
        <v/>
      </c>
    </row>
    <row r="78">
      <c r="A78" s="6" t="inlineStr">
        <is>
          <t>03.04.2025</t>
        </is>
      </c>
      <c r="B78" s="6" t="inlineStr">
        <is>
          <t>Bursa</t>
        </is>
      </c>
      <c r="C78" s="6" t="inlineStr">
        <is>
          <t>Kalem</t>
        </is>
      </c>
      <c r="D78" s="6" t="inlineStr">
        <is>
          <t>Can B.</t>
        </is>
      </c>
      <c r="E78" s="6" t="n">
        <v>48</v>
      </c>
      <c r="F78" s="7" t="n">
        <v>5.5</v>
      </c>
      <c r="G78" s="8">
        <f>E78*F78</f>
        <v/>
      </c>
    </row>
    <row r="79">
      <c r="A79" s="3" t="inlineStr">
        <is>
          <t>08.04.2025</t>
        </is>
      </c>
      <c r="B79" s="3" t="inlineStr">
        <is>
          <t>Bursa</t>
        </is>
      </c>
      <c r="C79" s="3" t="inlineStr">
        <is>
          <t>Defter</t>
        </is>
      </c>
      <c r="D79" s="3" t="inlineStr">
        <is>
          <t>Can B.</t>
        </is>
      </c>
      <c r="E79" s="3" t="n">
        <v>110</v>
      </c>
      <c r="F79" s="4" t="n">
        <v>12</v>
      </c>
      <c r="G79" s="5">
        <f>E79*F79</f>
        <v/>
      </c>
    </row>
    <row r="80">
      <c r="A80" s="6" t="inlineStr">
        <is>
          <t>28.04.2025</t>
        </is>
      </c>
      <c r="B80" s="6" t="inlineStr">
        <is>
          <t>Bursa</t>
        </is>
      </c>
      <c r="C80" s="6" t="inlineStr">
        <is>
          <t>Silgi</t>
        </is>
      </c>
      <c r="D80" s="6" t="inlineStr">
        <is>
          <t>Can B.</t>
        </is>
      </c>
      <c r="E80" s="6" t="n">
        <v>28</v>
      </c>
      <c r="F80" s="7" t="n">
        <v>3</v>
      </c>
      <c r="G80" s="8">
        <f>E80*F80</f>
        <v/>
      </c>
    </row>
    <row r="81">
      <c r="A81" s="3" t="inlineStr">
        <is>
          <t>17.04.2025</t>
        </is>
      </c>
      <c r="B81" s="3" t="inlineStr">
        <is>
          <t>Bursa</t>
        </is>
      </c>
      <c r="C81" s="3" t="inlineStr">
        <is>
          <t>Makas</t>
        </is>
      </c>
      <c r="D81" s="3" t="inlineStr">
        <is>
          <t>Can B.</t>
        </is>
      </c>
      <c r="E81" s="3" t="n">
        <v>62</v>
      </c>
      <c r="F81" s="4" t="n">
        <v>15</v>
      </c>
      <c r="G81" s="5">
        <f>E81*F81</f>
        <v/>
      </c>
    </row>
    <row r="82">
      <c r="A82" s="6" t="inlineStr">
        <is>
          <t>22.04.2025</t>
        </is>
      </c>
      <c r="B82" s="6" t="inlineStr">
        <is>
          <t>Bursa</t>
        </is>
      </c>
      <c r="C82" s="6" t="inlineStr">
        <is>
          <t>Dosya</t>
        </is>
      </c>
      <c r="D82" s="6" t="inlineStr">
        <is>
          <t>Merve S.</t>
        </is>
      </c>
      <c r="E82" s="6" t="n">
        <v>50</v>
      </c>
      <c r="F82" s="7" t="n">
        <v>6.5</v>
      </c>
      <c r="G82" s="8">
        <f>E82*F82</f>
        <v/>
      </c>
    </row>
    <row r="83">
      <c r="A83" s="3" t="inlineStr">
        <is>
          <t>18.05.2025</t>
        </is>
      </c>
      <c r="B83" s="3" t="inlineStr">
        <is>
          <t>Ankara</t>
        </is>
      </c>
      <c r="C83" s="3" t="inlineStr">
        <is>
          <t>Kalem</t>
        </is>
      </c>
      <c r="D83" s="3" t="inlineStr">
        <is>
          <t>Ahmet K.</t>
        </is>
      </c>
      <c r="E83" s="3" t="n">
        <v>82</v>
      </c>
      <c r="F83" s="4" t="n">
        <v>5.5</v>
      </c>
      <c r="G83" s="5">
        <f>E83*F83</f>
        <v/>
      </c>
    </row>
    <row r="84">
      <c r="A84" s="6" t="inlineStr">
        <is>
          <t>08.05.2025</t>
        </is>
      </c>
      <c r="B84" s="6" t="inlineStr">
        <is>
          <t>Ankara</t>
        </is>
      </c>
      <c r="C84" s="6" t="inlineStr">
        <is>
          <t>Defter</t>
        </is>
      </c>
      <c r="D84" s="6" t="inlineStr">
        <is>
          <t>Selin A.</t>
        </is>
      </c>
      <c r="E84" s="6" t="n">
        <v>36</v>
      </c>
      <c r="F84" s="7" t="n">
        <v>12</v>
      </c>
      <c r="G84" s="8">
        <f>E84*F84</f>
        <v/>
      </c>
    </row>
    <row r="85">
      <c r="A85" s="3" t="inlineStr">
        <is>
          <t>26.05.2025</t>
        </is>
      </c>
      <c r="B85" s="3" t="inlineStr">
        <is>
          <t>Ankara</t>
        </is>
      </c>
      <c r="C85" s="3" t="inlineStr">
        <is>
          <t>Silgi</t>
        </is>
      </c>
      <c r="D85" s="3" t="inlineStr">
        <is>
          <t>Selin A.</t>
        </is>
      </c>
      <c r="E85" s="3" t="n">
        <v>120</v>
      </c>
      <c r="F85" s="4" t="n">
        <v>3</v>
      </c>
      <c r="G85" s="5">
        <f>E85*F85</f>
        <v/>
      </c>
    </row>
    <row r="86">
      <c r="A86" s="6" t="inlineStr">
        <is>
          <t>04.05.2025</t>
        </is>
      </c>
      <c r="B86" s="6" t="inlineStr">
        <is>
          <t>Ankara</t>
        </is>
      </c>
      <c r="C86" s="6" t="inlineStr">
        <is>
          <t>Makas</t>
        </is>
      </c>
      <c r="D86" s="6" t="inlineStr">
        <is>
          <t>Ahmet K.</t>
        </is>
      </c>
      <c r="E86" s="6" t="n">
        <v>72</v>
      </c>
      <c r="F86" s="7" t="n">
        <v>15</v>
      </c>
      <c r="G86" s="8">
        <f>E86*F86</f>
        <v/>
      </c>
    </row>
    <row r="87">
      <c r="A87" s="3" t="inlineStr">
        <is>
          <t>12.05.2025</t>
        </is>
      </c>
      <c r="B87" s="3" t="inlineStr">
        <is>
          <t>Ankara</t>
        </is>
      </c>
      <c r="C87" s="3" t="inlineStr">
        <is>
          <t>Dosya</t>
        </is>
      </c>
      <c r="D87" s="3" t="inlineStr">
        <is>
          <t>Selin A.</t>
        </is>
      </c>
      <c r="E87" s="3" t="n">
        <v>32</v>
      </c>
      <c r="F87" s="4" t="n">
        <v>6.5</v>
      </c>
      <c r="G87" s="5">
        <f>E87*F87</f>
        <v/>
      </c>
    </row>
    <row r="88">
      <c r="A88" s="6" t="inlineStr">
        <is>
          <t>15.05.2025</t>
        </is>
      </c>
      <c r="B88" s="6" t="inlineStr">
        <is>
          <t>İstanbul</t>
        </is>
      </c>
      <c r="C88" s="6" t="inlineStr">
        <is>
          <t>Kalem</t>
        </is>
      </c>
      <c r="D88" s="6" t="inlineStr">
        <is>
          <t>Ali D.</t>
        </is>
      </c>
      <c r="E88" s="6" t="n">
        <v>74</v>
      </c>
      <c r="F88" s="7" t="n">
        <v>5.5</v>
      </c>
      <c r="G88" s="8">
        <f>E88*F88</f>
        <v/>
      </c>
    </row>
    <row r="89">
      <c r="A89" s="3" t="inlineStr">
        <is>
          <t>22.05.2025</t>
        </is>
      </c>
      <c r="B89" s="3" t="inlineStr">
        <is>
          <t>İstanbul</t>
        </is>
      </c>
      <c r="C89" s="3" t="inlineStr">
        <is>
          <t>Defter</t>
        </is>
      </c>
      <c r="D89" s="3" t="inlineStr">
        <is>
          <t>Fatma Y.</t>
        </is>
      </c>
      <c r="E89" s="3" t="n">
        <v>113</v>
      </c>
      <c r="F89" s="4" t="n">
        <v>12</v>
      </c>
      <c r="G89" s="5">
        <f>E89*F89</f>
        <v/>
      </c>
    </row>
    <row r="90">
      <c r="A90" s="6" t="inlineStr">
        <is>
          <t>02.05.2025</t>
        </is>
      </c>
      <c r="B90" s="6" t="inlineStr">
        <is>
          <t>İstanbul</t>
        </is>
      </c>
      <c r="C90" s="6" t="inlineStr">
        <is>
          <t>Silgi</t>
        </is>
      </c>
      <c r="D90" s="6" t="inlineStr">
        <is>
          <t>Fatma Y.</t>
        </is>
      </c>
      <c r="E90" s="6" t="n">
        <v>103</v>
      </c>
      <c r="F90" s="7" t="n">
        <v>3</v>
      </c>
      <c r="G90" s="8">
        <f>E90*F90</f>
        <v/>
      </c>
    </row>
    <row r="91">
      <c r="A91" s="3" t="inlineStr">
        <is>
          <t>26.05.2025</t>
        </is>
      </c>
      <c r="B91" s="3" t="inlineStr">
        <is>
          <t>İstanbul</t>
        </is>
      </c>
      <c r="C91" s="3" t="inlineStr">
        <is>
          <t>Makas</t>
        </is>
      </c>
      <c r="D91" s="3" t="inlineStr">
        <is>
          <t>Ali D.</t>
        </is>
      </c>
      <c r="E91" s="3" t="n">
        <v>71</v>
      </c>
      <c r="F91" s="4" t="n">
        <v>15</v>
      </c>
      <c r="G91" s="5">
        <f>E91*F91</f>
        <v/>
      </c>
    </row>
    <row r="92">
      <c r="A92" s="6" t="inlineStr">
        <is>
          <t>07.05.2025</t>
        </is>
      </c>
      <c r="B92" s="6" t="inlineStr">
        <is>
          <t>İstanbul</t>
        </is>
      </c>
      <c r="C92" s="6" t="inlineStr">
        <is>
          <t>Dosya</t>
        </is>
      </c>
      <c r="D92" s="6" t="inlineStr">
        <is>
          <t>Fatma Y.</t>
        </is>
      </c>
      <c r="E92" s="6" t="n">
        <v>33</v>
      </c>
      <c r="F92" s="7" t="n">
        <v>6.5</v>
      </c>
      <c r="G92" s="8">
        <f>E92*F92</f>
        <v/>
      </c>
    </row>
    <row r="93">
      <c r="A93" s="3" t="inlineStr">
        <is>
          <t>05.05.2025</t>
        </is>
      </c>
      <c r="B93" s="3" t="inlineStr">
        <is>
          <t>İzmir</t>
        </is>
      </c>
      <c r="C93" s="3" t="inlineStr">
        <is>
          <t>Kalem</t>
        </is>
      </c>
      <c r="D93" s="3" t="inlineStr">
        <is>
          <t>Zeynep T.</t>
        </is>
      </c>
      <c r="E93" s="3" t="n">
        <v>44</v>
      </c>
      <c r="F93" s="4" t="n">
        <v>5.5</v>
      </c>
      <c r="G93" s="5">
        <f>E93*F93</f>
        <v/>
      </c>
    </row>
    <row r="94">
      <c r="A94" s="6" t="inlineStr">
        <is>
          <t>09.05.2025</t>
        </is>
      </c>
      <c r="B94" s="6" t="inlineStr">
        <is>
          <t>İzmir</t>
        </is>
      </c>
      <c r="C94" s="6" t="inlineStr">
        <is>
          <t>Defter</t>
        </is>
      </c>
      <c r="D94" s="6" t="inlineStr">
        <is>
          <t>Mehmet C.</t>
        </is>
      </c>
      <c r="E94" s="6" t="n">
        <v>74</v>
      </c>
      <c r="F94" s="7" t="n">
        <v>12</v>
      </c>
      <c r="G94" s="8">
        <f>E94*F94</f>
        <v/>
      </c>
    </row>
    <row r="95">
      <c r="A95" s="3" t="inlineStr">
        <is>
          <t>28.05.2025</t>
        </is>
      </c>
      <c r="B95" s="3" t="inlineStr">
        <is>
          <t>İzmir</t>
        </is>
      </c>
      <c r="C95" s="3" t="inlineStr">
        <is>
          <t>Silgi</t>
        </is>
      </c>
      <c r="D95" s="3" t="inlineStr">
        <is>
          <t>Mehmet C.</t>
        </is>
      </c>
      <c r="E95" s="3" t="n">
        <v>79</v>
      </c>
      <c r="F95" s="4" t="n">
        <v>3</v>
      </c>
      <c r="G95" s="5">
        <f>E95*F95</f>
        <v/>
      </c>
    </row>
    <row r="96">
      <c r="A96" s="6" t="inlineStr">
        <is>
          <t>26.05.2025</t>
        </is>
      </c>
      <c r="B96" s="6" t="inlineStr">
        <is>
          <t>İzmir</t>
        </is>
      </c>
      <c r="C96" s="6" t="inlineStr">
        <is>
          <t>Makas</t>
        </is>
      </c>
      <c r="D96" s="6" t="inlineStr">
        <is>
          <t>Zeynep T.</t>
        </is>
      </c>
      <c r="E96" s="6" t="n">
        <v>29</v>
      </c>
      <c r="F96" s="7" t="n">
        <v>15</v>
      </c>
      <c r="G96" s="8">
        <f>E96*F96</f>
        <v/>
      </c>
    </row>
    <row r="97">
      <c r="A97" s="3" t="inlineStr">
        <is>
          <t>02.05.2025</t>
        </is>
      </c>
      <c r="B97" s="3" t="inlineStr">
        <is>
          <t>İzmir</t>
        </is>
      </c>
      <c r="C97" s="3" t="inlineStr">
        <is>
          <t>Dosya</t>
        </is>
      </c>
      <c r="D97" s="3" t="inlineStr">
        <is>
          <t>Mehmet C.</t>
        </is>
      </c>
      <c r="E97" s="3" t="n">
        <v>90</v>
      </c>
      <c r="F97" s="4" t="n">
        <v>6.5</v>
      </c>
      <c r="G97" s="5">
        <f>E97*F97</f>
        <v/>
      </c>
    </row>
    <row r="98">
      <c r="A98" s="6" t="inlineStr">
        <is>
          <t>03.05.2025</t>
        </is>
      </c>
      <c r="B98" s="6" t="inlineStr">
        <is>
          <t>Bursa</t>
        </is>
      </c>
      <c r="C98" s="6" t="inlineStr">
        <is>
          <t>Kalem</t>
        </is>
      </c>
      <c r="D98" s="6" t="inlineStr">
        <is>
          <t>Can B.</t>
        </is>
      </c>
      <c r="E98" s="6" t="n">
        <v>103</v>
      </c>
      <c r="F98" s="7" t="n">
        <v>5.5</v>
      </c>
      <c r="G98" s="8">
        <f>E98*F98</f>
        <v/>
      </c>
    </row>
    <row r="99">
      <c r="A99" s="3" t="inlineStr">
        <is>
          <t>06.05.2025</t>
        </is>
      </c>
      <c r="B99" s="3" t="inlineStr">
        <is>
          <t>Bursa</t>
        </is>
      </c>
      <c r="C99" s="3" t="inlineStr">
        <is>
          <t>Defter</t>
        </is>
      </c>
      <c r="D99" s="3" t="inlineStr">
        <is>
          <t>Can B.</t>
        </is>
      </c>
      <c r="E99" s="3" t="n">
        <v>116</v>
      </c>
      <c r="F99" s="4" t="n">
        <v>12</v>
      </c>
      <c r="G99" s="5">
        <f>E99*F99</f>
        <v/>
      </c>
    </row>
    <row r="100">
      <c r="A100" s="6" t="inlineStr">
        <is>
          <t>16.05.2025</t>
        </is>
      </c>
      <c r="B100" s="6" t="inlineStr">
        <is>
          <t>Bursa</t>
        </is>
      </c>
      <c r="C100" s="6" t="inlineStr">
        <is>
          <t>Silgi</t>
        </is>
      </c>
      <c r="D100" s="6" t="inlineStr">
        <is>
          <t>Merve S.</t>
        </is>
      </c>
      <c r="E100" s="6" t="n">
        <v>72</v>
      </c>
      <c r="F100" s="7" t="n">
        <v>3</v>
      </c>
      <c r="G100" s="8">
        <f>E100*F100</f>
        <v/>
      </c>
    </row>
    <row r="101">
      <c r="A101" s="3" t="inlineStr">
        <is>
          <t>02.05.2025</t>
        </is>
      </c>
      <c r="B101" s="3" t="inlineStr">
        <is>
          <t>Bursa</t>
        </is>
      </c>
      <c r="C101" s="3" t="inlineStr">
        <is>
          <t>Makas</t>
        </is>
      </c>
      <c r="D101" s="3" t="inlineStr">
        <is>
          <t>Merve S.</t>
        </is>
      </c>
      <c r="E101" s="3" t="n">
        <v>47</v>
      </c>
      <c r="F101" s="4" t="n">
        <v>15</v>
      </c>
      <c r="G101" s="5">
        <f>E101*F101</f>
        <v/>
      </c>
    </row>
    <row r="102">
      <c r="A102" s="6" t="inlineStr">
        <is>
          <t>01.05.2025</t>
        </is>
      </c>
      <c r="B102" s="6" t="inlineStr">
        <is>
          <t>Bursa</t>
        </is>
      </c>
      <c r="C102" s="6" t="inlineStr">
        <is>
          <t>Dosya</t>
        </is>
      </c>
      <c r="D102" s="6" t="inlineStr">
        <is>
          <t>Merve S.</t>
        </is>
      </c>
      <c r="E102" s="6" t="n">
        <v>41</v>
      </c>
      <c r="F102" s="7" t="n">
        <v>6.5</v>
      </c>
      <c r="G102" s="8">
        <f>E102*F102</f>
        <v/>
      </c>
    </row>
    <row r="103">
      <c r="A103" s="3" t="inlineStr">
        <is>
          <t>26.06.2025</t>
        </is>
      </c>
      <c r="B103" s="3" t="inlineStr">
        <is>
          <t>Ankara</t>
        </is>
      </c>
      <c r="C103" s="3" t="inlineStr">
        <is>
          <t>Kalem</t>
        </is>
      </c>
      <c r="D103" s="3" t="inlineStr">
        <is>
          <t>Selin A.</t>
        </is>
      </c>
      <c r="E103" s="3" t="n">
        <v>69</v>
      </c>
      <c r="F103" s="4" t="n">
        <v>5.5</v>
      </c>
      <c r="G103" s="5">
        <f>E103*F103</f>
        <v/>
      </c>
    </row>
    <row r="104">
      <c r="A104" s="6" t="inlineStr">
        <is>
          <t>10.06.2025</t>
        </is>
      </c>
      <c r="B104" s="6" t="inlineStr">
        <is>
          <t>Ankara</t>
        </is>
      </c>
      <c r="C104" s="6" t="inlineStr">
        <is>
          <t>Defter</t>
        </is>
      </c>
      <c r="D104" s="6" t="inlineStr">
        <is>
          <t>Selin A.</t>
        </is>
      </c>
      <c r="E104" s="6" t="n">
        <v>120</v>
      </c>
      <c r="F104" s="7" t="n">
        <v>12</v>
      </c>
      <c r="G104" s="8">
        <f>E104*F104</f>
        <v/>
      </c>
    </row>
    <row r="105">
      <c r="A105" s="3" t="inlineStr">
        <is>
          <t>05.06.2025</t>
        </is>
      </c>
      <c r="B105" s="3" t="inlineStr">
        <is>
          <t>Ankara</t>
        </is>
      </c>
      <c r="C105" s="3" t="inlineStr">
        <is>
          <t>Silgi</t>
        </is>
      </c>
      <c r="D105" s="3" t="inlineStr">
        <is>
          <t>Selin A.</t>
        </is>
      </c>
      <c r="E105" s="3" t="n">
        <v>74</v>
      </c>
      <c r="F105" s="4" t="n">
        <v>3</v>
      </c>
      <c r="G105" s="5">
        <f>E105*F105</f>
        <v/>
      </c>
    </row>
    <row r="106">
      <c r="A106" s="6" t="inlineStr">
        <is>
          <t>07.06.2025</t>
        </is>
      </c>
      <c r="B106" s="6" t="inlineStr">
        <is>
          <t>Ankara</t>
        </is>
      </c>
      <c r="C106" s="6" t="inlineStr">
        <is>
          <t>Makas</t>
        </is>
      </c>
      <c r="D106" s="6" t="inlineStr">
        <is>
          <t>Selin A.</t>
        </is>
      </c>
      <c r="E106" s="6" t="n">
        <v>44</v>
      </c>
      <c r="F106" s="7" t="n">
        <v>15</v>
      </c>
      <c r="G106" s="8">
        <f>E106*F106</f>
        <v/>
      </c>
    </row>
    <row r="107">
      <c r="A107" s="3" t="inlineStr">
        <is>
          <t>24.06.2025</t>
        </is>
      </c>
      <c r="B107" s="3" t="inlineStr">
        <is>
          <t>Ankara</t>
        </is>
      </c>
      <c r="C107" s="3" t="inlineStr">
        <is>
          <t>Dosya</t>
        </is>
      </c>
      <c r="D107" s="3" t="inlineStr">
        <is>
          <t>Ahmet K.</t>
        </is>
      </c>
      <c r="E107" s="3" t="n">
        <v>27</v>
      </c>
      <c r="F107" s="4" t="n">
        <v>6.5</v>
      </c>
      <c r="G107" s="5">
        <f>E107*F107</f>
        <v/>
      </c>
    </row>
    <row r="108">
      <c r="A108" s="6" t="inlineStr">
        <is>
          <t>02.06.2025</t>
        </is>
      </c>
      <c r="B108" s="6" t="inlineStr">
        <is>
          <t>İstanbul</t>
        </is>
      </c>
      <c r="C108" s="6" t="inlineStr">
        <is>
          <t>Kalem</t>
        </is>
      </c>
      <c r="D108" s="6" t="inlineStr">
        <is>
          <t>Fatma Y.</t>
        </is>
      </c>
      <c r="E108" s="6" t="n">
        <v>60</v>
      </c>
      <c r="F108" s="7" t="n">
        <v>5.5</v>
      </c>
      <c r="G108" s="8">
        <f>E108*F108</f>
        <v/>
      </c>
    </row>
    <row r="109">
      <c r="A109" s="3" t="inlineStr">
        <is>
          <t>17.06.2025</t>
        </is>
      </c>
      <c r="B109" s="3" t="inlineStr">
        <is>
          <t>İstanbul</t>
        </is>
      </c>
      <c r="C109" s="3" t="inlineStr">
        <is>
          <t>Defter</t>
        </is>
      </c>
      <c r="D109" s="3" t="inlineStr">
        <is>
          <t>Ali D.</t>
        </is>
      </c>
      <c r="E109" s="3" t="n">
        <v>94</v>
      </c>
      <c r="F109" s="4" t="n">
        <v>12</v>
      </c>
      <c r="G109" s="5">
        <f>E109*F109</f>
        <v/>
      </c>
    </row>
    <row r="110">
      <c r="A110" s="6" t="inlineStr">
        <is>
          <t>02.06.2025</t>
        </is>
      </c>
      <c r="B110" s="6" t="inlineStr">
        <is>
          <t>İstanbul</t>
        </is>
      </c>
      <c r="C110" s="6" t="inlineStr">
        <is>
          <t>Silgi</t>
        </is>
      </c>
      <c r="D110" s="6" t="inlineStr">
        <is>
          <t>Fatma Y.</t>
        </is>
      </c>
      <c r="E110" s="6" t="n">
        <v>87</v>
      </c>
      <c r="F110" s="7" t="n">
        <v>3</v>
      </c>
      <c r="G110" s="8">
        <f>E110*F110</f>
        <v/>
      </c>
    </row>
    <row r="111">
      <c r="A111" s="3" t="inlineStr">
        <is>
          <t>28.06.2025</t>
        </is>
      </c>
      <c r="B111" s="3" t="inlineStr">
        <is>
          <t>İstanbul</t>
        </is>
      </c>
      <c r="C111" s="3" t="inlineStr">
        <is>
          <t>Makas</t>
        </is>
      </c>
      <c r="D111" s="3" t="inlineStr">
        <is>
          <t>Fatma Y.</t>
        </is>
      </c>
      <c r="E111" s="3" t="n">
        <v>85</v>
      </c>
      <c r="F111" s="4" t="n">
        <v>15</v>
      </c>
      <c r="G111" s="5">
        <f>E111*F111</f>
        <v/>
      </c>
    </row>
    <row r="112">
      <c r="A112" s="6" t="inlineStr">
        <is>
          <t>20.06.2025</t>
        </is>
      </c>
      <c r="B112" s="6" t="inlineStr">
        <is>
          <t>İstanbul</t>
        </is>
      </c>
      <c r="C112" s="6" t="inlineStr">
        <is>
          <t>Dosya</t>
        </is>
      </c>
      <c r="D112" s="6" t="inlineStr">
        <is>
          <t>Fatma Y.</t>
        </is>
      </c>
      <c r="E112" s="6" t="n">
        <v>43</v>
      </c>
      <c r="F112" s="7" t="n">
        <v>6.5</v>
      </c>
      <c r="G112" s="8">
        <f>E112*F112</f>
        <v/>
      </c>
    </row>
    <row r="113">
      <c r="A113" s="3" t="inlineStr">
        <is>
          <t>13.06.2025</t>
        </is>
      </c>
      <c r="B113" s="3" t="inlineStr">
        <is>
          <t>İzmir</t>
        </is>
      </c>
      <c r="C113" s="3" t="inlineStr">
        <is>
          <t>Kalem</t>
        </is>
      </c>
      <c r="D113" s="3" t="inlineStr">
        <is>
          <t>Mehmet C.</t>
        </is>
      </c>
      <c r="E113" s="3" t="n">
        <v>28</v>
      </c>
      <c r="F113" s="4" t="n">
        <v>5.5</v>
      </c>
      <c r="G113" s="5">
        <f>E113*F113</f>
        <v/>
      </c>
    </row>
    <row r="114">
      <c r="A114" s="6" t="inlineStr">
        <is>
          <t>19.06.2025</t>
        </is>
      </c>
      <c r="B114" s="6" t="inlineStr">
        <is>
          <t>İzmir</t>
        </is>
      </c>
      <c r="C114" s="6" t="inlineStr">
        <is>
          <t>Defter</t>
        </is>
      </c>
      <c r="D114" s="6" t="inlineStr">
        <is>
          <t>Mehmet C.</t>
        </is>
      </c>
      <c r="E114" s="6" t="n">
        <v>35</v>
      </c>
      <c r="F114" s="7" t="n">
        <v>12</v>
      </c>
      <c r="G114" s="8">
        <f>E114*F114</f>
        <v/>
      </c>
    </row>
    <row r="115">
      <c r="A115" s="3" t="inlineStr">
        <is>
          <t>20.06.2025</t>
        </is>
      </c>
      <c r="B115" s="3" t="inlineStr">
        <is>
          <t>İzmir</t>
        </is>
      </c>
      <c r="C115" s="3" t="inlineStr">
        <is>
          <t>Silgi</t>
        </is>
      </c>
      <c r="D115" s="3" t="inlineStr">
        <is>
          <t>Mehmet C.</t>
        </is>
      </c>
      <c r="E115" s="3" t="n">
        <v>96</v>
      </c>
      <c r="F115" s="4" t="n">
        <v>3</v>
      </c>
      <c r="G115" s="5">
        <f>E115*F115</f>
        <v/>
      </c>
    </row>
    <row r="116">
      <c r="A116" s="6" t="inlineStr">
        <is>
          <t>22.06.2025</t>
        </is>
      </c>
      <c r="B116" s="6" t="inlineStr">
        <is>
          <t>İzmir</t>
        </is>
      </c>
      <c r="C116" s="6" t="inlineStr">
        <is>
          <t>Makas</t>
        </is>
      </c>
      <c r="D116" s="6" t="inlineStr">
        <is>
          <t>Zeynep T.</t>
        </is>
      </c>
      <c r="E116" s="6" t="n">
        <v>30</v>
      </c>
      <c r="F116" s="7" t="n">
        <v>15</v>
      </c>
      <c r="G116" s="8">
        <f>E116*F116</f>
        <v/>
      </c>
    </row>
    <row r="117">
      <c r="A117" s="3" t="inlineStr">
        <is>
          <t>09.06.2025</t>
        </is>
      </c>
      <c r="B117" s="3" t="inlineStr">
        <is>
          <t>İzmir</t>
        </is>
      </c>
      <c r="C117" s="3" t="inlineStr">
        <is>
          <t>Dosya</t>
        </is>
      </c>
      <c r="D117" s="3" t="inlineStr">
        <is>
          <t>Zeynep T.</t>
        </is>
      </c>
      <c r="E117" s="3" t="n">
        <v>94</v>
      </c>
      <c r="F117" s="4" t="n">
        <v>6.5</v>
      </c>
      <c r="G117" s="5">
        <f>E117*F117</f>
        <v/>
      </c>
    </row>
    <row r="118">
      <c r="A118" s="6" t="inlineStr">
        <is>
          <t>08.06.2025</t>
        </is>
      </c>
      <c r="B118" s="6" t="inlineStr">
        <is>
          <t>Bursa</t>
        </is>
      </c>
      <c r="C118" s="6" t="inlineStr">
        <is>
          <t>Kalem</t>
        </is>
      </c>
      <c r="D118" s="6" t="inlineStr">
        <is>
          <t>Merve S.</t>
        </is>
      </c>
      <c r="E118" s="6" t="n">
        <v>46</v>
      </c>
      <c r="F118" s="7" t="n">
        <v>5.5</v>
      </c>
      <c r="G118" s="8">
        <f>E118*F118</f>
        <v/>
      </c>
    </row>
    <row r="119">
      <c r="A119" s="3" t="inlineStr">
        <is>
          <t>05.06.2025</t>
        </is>
      </c>
      <c r="B119" s="3" t="inlineStr">
        <is>
          <t>Bursa</t>
        </is>
      </c>
      <c r="C119" s="3" t="inlineStr">
        <is>
          <t>Defter</t>
        </is>
      </c>
      <c r="D119" s="3" t="inlineStr">
        <is>
          <t>Merve S.</t>
        </is>
      </c>
      <c r="E119" s="3" t="n">
        <v>53</v>
      </c>
      <c r="F119" s="4" t="n">
        <v>12</v>
      </c>
      <c r="G119" s="5">
        <f>E119*F119</f>
        <v/>
      </c>
    </row>
    <row r="120">
      <c r="A120" s="6" t="inlineStr">
        <is>
          <t>15.06.2025</t>
        </is>
      </c>
      <c r="B120" s="6" t="inlineStr">
        <is>
          <t>Bursa</t>
        </is>
      </c>
      <c r="C120" s="6" t="inlineStr">
        <is>
          <t>Silgi</t>
        </is>
      </c>
      <c r="D120" s="6" t="inlineStr">
        <is>
          <t>Merve S.</t>
        </is>
      </c>
      <c r="E120" s="6" t="n">
        <v>105</v>
      </c>
      <c r="F120" s="7" t="n">
        <v>3</v>
      </c>
      <c r="G120" s="8">
        <f>E120*F120</f>
        <v/>
      </c>
    </row>
    <row r="121">
      <c r="A121" s="3" t="inlineStr">
        <is>
          <t>01.06.2025</t>
        </is>
      </c>
      <c r="B121" s="3" t="inlineStr">
        <is>
          <t>Bursa</t>
        </is>
      </c>
      <c r="C121" s="3" t="inlineStr">
        <is>
          <t>Makas</t>
        </is>
      </c>
      <c r="D121" s="3" t="inlineStr">
        <is>
          <t>Can B.</t>
        </is>
      </c>
      <c r="E121" s="3" t="n">
        <v>60</v>
      </c>
      <c r="F121" s="4" t="n">
        <v>15</v>
      </c>
      <c r="G121" s="5">
        <f>E121*F121</f>
        <v/>
      </c>
    </row>
    <row r="122">
      <c r="A122" s="6" t="inlineStr">
        <is>
          <t>03.06.2025</t>
        </is>
      </c>
      <c r="B122" s="6" t="inlineStr">
        <is>
          <t>Bursa</t>
        </is>
      </c>
      <c r="C122" s="6" t="inlineStr">
        <is>
          <t>Dosya</t>
        </is>
      </c>
      <c r="D122" s="6" t="inlineStr">
        <is>
          <t>Can B.</t>
        </is>
      </c>
      <c r="E122" s="6" t="n">
        <v>78</v>
      </c>
      <c r="F122" s="7" t="n">
        <v>6.5</v>
      </c>
      <c r="G122" s="8">
        <f>E122*F122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BÖLGE × ÜRÜN SATIŞ ÖZETİ (Manuel Pivot)</t>
        </is>
      </c>
    </row>
    <row r="2">
      <c r="A2" s="2" t="inlineStr">
        <is>
          <t>Bölge</t>
        </is>
      </c>
      <c r="B2" s="2" t="inlineStr">
        <is>
          <t>Kalem</t>
        </is>
      </c>
      <c r="C2" s="2" t="inlineStr">
        <is>
          <t>Defter</t>
        </is>
      </c>
      <c r="D2" s="2" t="inlineStr">
        <is>
          <t>Silgi</t>
        </is>
      </c>
      <c r="E2" s="2" t="inlineStr">
        <is>
          <t>Makas</t>
        </is>
      </c>
      <c r="F2" s="2" t="inlineStr">
        <is>
          <t>Dosya</t>
        </is>
      </c>
      <c r="G2" s="2" t="inlineStr">
        <is>
          <t>TOPLAM</t>
        </is>
      </c>
    </row>
    <row r="3">
      <c r="A3" s="9" t="inlineStr">
        <is>
          <t>Ankara</t>
        </is>
      </c>
      <c r="B3" s="10">
        <f>SUMPRODUCT((Satis_Verileri!B$3:B$122=A3)*(Satis_Verileri!C$3:C$122="Kalem")*Satis_Verileri!G$3:G$122)</f>
        <v/>
      </c>
      <c r="C3" s="10">
        <f>SUMPRODUCT((Satis_Verileri!B$3:B$122=A3)*(Satis_Verileri!C$3:C$122="Defter")*Satis_Verileri!G$3:G$122)</f>
        <v/>
      </c>
      <c r="D3" s="10">
        <f>SUMPRODUCT((Satis_Verileri!B$3:B$122=A3)*(Satis_Verileri!C$3:C$122="Silgi")*Satis_Verileri!G$3:G$122)</f>
        <v/>
      </c>
      <c r="E3" s="10">
        <f>SUMPRODUCT((Satis_Verileri!B$3:B$122=A3)*(Satis_Verileri!C$3:C$122="Makas")*Satis_Verileri!G$3:G$122)</f>
        <v/>
      </c>
      <c r="F3" s="10">
        <f>SUMPRODUCT((Satis_Verileri!B$3:B$122=A3)*(Satis_Verileri!C$3:C$122="Dosya")*Satis_Verileri!G$3:G$122)</f>
        <v/>
      </c>
      <c r="G3" s="11">
        <f>SUM(B3:F3)</f>
        <v/>
      </c>
    </row>
    <row r="4">
      <c r="A4" s="9" t="inlineStr">
        <is>
          <t>İstanbul</t>
        </is>
      </c>
      <c r="B4" s="10">
        <f>SUMPRODUCT((Satis_Verileri!B$3:B$122=A4)*(Satis_Verileri!C$3:C$122="Kalem")*Satis_Verileri!G$3:G$122)</f>
        <v/>
      </c>
      <c r="C4" s="10">
        <f>SUMPRODUCT((Satis_Verileri!B$3:B$122=A4)*(Satis_Verileri!C$3:C$122="Defter")*Satis_Verileri!G$3:G$122)</f>
        <v/>
      </c>
      <c r="D4" s="10">
        <f>SUMPRODUCT((Satis_Verileri!B$3:B$122=A4)*(Satis_Verileri!C$3:C$122="Silgi")*Satis_Verileri!G$3:G$122)</f>
        <v/>
      </c>
      <c r="E4" s="10">
        <f>SUMPRODUCT((Satis_Verileri!B$3:B$122=A4)*(Satis_Verileri!C$3:C$122="Makas")*Satis_Verileri!G$3:G$122)</f>
        <v/>
      </c>
      <c r="F4" s="10">
        <f>SUMPRODUCT((Satis_Verileri!B$3:B$122=A4)*(Satis_Verileri!C$3:C$122="Dosya")*Satis_Verileri!G$3:G$122)</f>
        <v/>
      </c>
      <c r="G4" s="11">
        <f>SUM(B4:F4)</f>
        <v/>
      </c>
    </row>
    <row r="5">
      <c r="A5" s="9" t="inlineStr">
        <is>
          <t>İzmir</t>
        </is>
      </c>
      <c r="B5" s="10">
        <f>SUMPRODUCT((Satis_Verileri!B$3:B$122=A5)*(Satis_Verileri!C$3:C$122="Kalem")*Satis_Verileri!G$3:G$122)</f>
        <v/>
      </c>
      <c r="C5" s="10">
        <f>SUMPRODUCT((Satis_Verileri!B$3:B$122=A5)*(Satis_Verileri!C$3:C$122="Defter")*Satis_Verileri!G$3:G$122)</f>
        <v/>
      </c>
      <c r="D5" s="10">
        <f>SUMPRODUCT((Satis_Verileri!B$3:B$122=A5)*(Satis_Verileri!C$3:C$122="Silgi")*Satis_Verileri!G$3:G$122)</f>
        <v/>
      </c>
      <c r="E5" s="10">
        <f>SUMPRODUCT((Satis_Verileri!B$3:B$122=A5)*(Satis_Verileri!C$3:C$122="Makas")*Satis_Verileri!G$3:G$122)</f>
        <v/>
      </c>
      <c r="F5" s="10">
        <f>SUMPRODUCT((Satis_Verileri!B$3:B$122=A5)*(Satis_Verileri!C$3:C$122="Dosya")*Satis_Verileri!G$3:G$122)</f>
        <v/>
      </c>
      <c r="G5" s="11">
        <f>SUM(B5:F5)</f>
        <v/>
      </c>
    </row>
    <row r="6">
      <c r="A6" s="9" t="inlineStr">
        <is>
          <t>Bursa</t>
        </is>
      </c>
      <c r="B6" s="10">
        <f>SUMPRODUCT((Satis_Verileri!B$3:B$122=A6)*(Satis_Verileri!C$3:C$122="Kalem")*Satis_Verileri!G$3:G$122)</f>
        <v/>
      </c>
      <c r="C6" s="10">
        <f>SUMPRODUCT((Satis_Verileri!B$3:B$122=A6)*(Satis_Verileri!C$3:C$122="Defter")*Satis_Verileri!G$3:G$122)</f>
        <v/>
      </c>
      <c r="D6" s="10">
        <f>SUMPRODUCT((Satis_Verileri!B$3:B$122=A6)*(Satis_Verileri!C$3:C$122="Silgi")*Satis_Verileri!G$3:G$122)</f>
        <v/>
      </c>
      <c r="E6" s="10">
        <f>SUMPRODUCT((Satis_Verileri!B$3:B$122=A6)*(Satis_Verileri!C$3:C$122="Makas")*Satis_Verileri!G$3:G$122)</f>
        <v/>
      </c>
      <c r="F6" s="10">
        <f>SUMPRODUCT((Satis_Verileri!B$3:B$122=A6)*(Satis_Verileri!C$3:C$122="Dosya")*Satis_Verileri!G$3:G$122)</f>
        <v/>
      </c>
      <c r="G6" s="11">
        <f>SUM(B6:F6)</f>
        <v/>
      </c>
    </row>
    <row r="7">
      <c r="A7" s="12" t="inlineStr">
        <is>
          <t>GENEL TOPLAM</t>
        </is>
      </c>
      <c r="B7" s="11">
        <f>SUM(B3:B6)</f>
        <v/>
      </c>
      <c r="C7" s="11">
        <f>SUM(C3:C6)</f>
        <v/>
      </c>
      <c r="D7" s="11">
        <f>SUM(D3:D6)</f>
        <v/>
      </c>
      <c r="E7" s="11">
        <f>SUM(E3:E6)</f>
        <v/>
      </c>
      <c r="F7" s="11">
        <f>SUM(F3:F6)</f>
        <v/>
      </c>
      <c r="G7" s="11">
        <f>SUM(G3:G6)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2026-05-05T21:49:20Z</dcterms:created>
  <dcterms:modified xmlns:dcterms="http://purl.org/dc/terms/" xmlns:xsi="http://www.w3.org/2001/XMLSchema-instance" xsi:type="dcterms:W3CDTF">2026-05-05T21:49:20Z</dcterms:modified>
</cp:coreProperties>
</file>