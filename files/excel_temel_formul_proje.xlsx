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Tablosu" sheetId="1" state="visible" r:id="rId1"/>
    <sheet xmlns:r="http://schemas.openxmlformats.org/officeDocument/2006/relationships" name="Graf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000000"/>
      <sz val="10"/>
    </font>
    <font>
      <b val="1"/>
      <sz val="10"/>
    </font>
    <font>
      <b val="1"/>
      <color rgb="001f7a4f"/>
      <sz val="10"/>
    </font>
  </fonts>
  <fills count="8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0f4ff"/>
      </patternFill>
    </fill>
    <fill>
      <patternFill patternType="solid">
        <fgColor rgb="00b8ddb8"/>
      </patternFill>
    </fill>
    <fill>
      <patternFill patternType="solid">
        <fgColor rgb="00FFFFFF"/>
      </patternFill>
    </fill>
    <fill>
      <patternFill patternType="solid">
        <fgColor rgb="00d5ecd5"/>
      </patternFill>
    </fill>
    <fill>
      <patternFill patternType="solid">
        <fgColor rgb="00d5f0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7" borderId="1" pivotButton="0" quotePrefix="0" xfId="0"/>
    <xf numFmtId="164" fontId="4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Öğrenci Not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'Grafik'!B2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'Grafik'!$A$3:$A$12</f>
            </numRef>
          </cat>
          <val>
            <numRef>
              <f>'Grafik'!$B$3:$B$12</f>
            </numRef>
          </val>
        </ser>
        <ser>
          <idx val="1"/>
          <order val="1"/>
          <tx>
            <strRef>
              <f>'Grafik'!C2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'Grafik'!$A$3:$A$12</f>
            </numRef>
          </cat>
          <val>
            <numRef>
              <f>'Grafik'!$C$3:$C$12</f>
            </numRef>
          </val>
        </ser>
        <ser>
          <idx val="2"/>
          <order val="2"/>
          <tx>
            <strRef>
              <f>'Grafik'!D2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'Grafik'!$A$3:$A$12</f>
            </numRef>
          </cat>
          <val>
            <numRef>
              <f>'Grafik'!$D$3:$D$12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Öğrenci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1" customWidth="1" min="4" max="4"/>
    <col width="10" customWidth="1" min="5" max="5"/>
    <col width="12" customWidth="1" min="6" max="6"/>
    <col width="11" customWidth="1" min="7" max="7"/>
    <col width="10" customWidth="1" min="8" max="8"/>
  </cols>
  <sheetData>
    <row r="1" ht="30" customHeight="1">
      <c r="A1" s="1" t="inlineStr">
        <is>
          <t>SINIF NOT TABLOSU — 2024-2025 / 1. Dönem</t>
        </is>
      </c>
    </row>
    <row r="2" ht="22" customHeight="1">
      <c r="A2" s="2" t="inlineStr">
        <is>
          <t>Sıra</t>
        </is>
      </c>
      <c r="B2" s="2" t="inlineStr">
        <is>
          <t>Ad Soyad</t>
        </is>
      </c>
      <c r="C2" s="2" t="inlineStr">
        <is>
          <t>Türkçe</t>
        </is>
      </c>
      <c r="D2" s="2" t="inlineStr">
        <is>
          <t>Matematik</t>
        </is>
      </c>
      <c r="E2" s="2" t="inlineStr">
        <is>
          <t>Fen Bil.</t>
        </is>
      </c>
      <c r="F2" s="2" t="inlineStr">
        <is>
          <t>İngilizce</t>
        </is>
      </c>
      <c r="G2" s="2" t="inlineStr">
        <is>
          <t>Ortalama</t>
        </is>
      </c>
      <c r="H2" s="2" t="inlineStr">
        <is>
          <t>Durum</t>
        </is>
      </c>
    </row>
    <row r="3">
      <c r="A3" s="3" t="n">
        <v>1</v>
      </c>
      <c r="B3" s="3" t="inlineStr">
        <is>
          <t>Ahmet Yılmaz</t>
        </is>
      </c>
      <c r="C3" s="3" t="n">
        <v>85</v>
      </c>
      <c r="D3" s="3" t="n">
        <v>90</v>
      </c>
      <c r="E3" s="3" t="n">
        <v>88</v>
      </c>
      <c r="F3" s="3" t="n">
        <v>92</v>
      </c>
      <c r="G3" s="4">
        <f>AVERAGE(C3:F3)</f>
        <v/>
      </c>
      <c r="H3" s="5">
        <f>IF(G3&gt;=85,"Pekiyi",IF(G3&gt;=70,"İyi",IF(G3&gt;=55,"Orta","Zayıf")))</f>
        <v/>
      </c>
    </row>
    <row r="4">
      <c r="A4" s="6" t="n">
        <v>2</v>
      </c>
      <c r="B4" s="6" t="inlineStr">
        <is>
          <t>Fatma Kaya</t>
        </is>
      </c>
      <c r="C4" s="6" t="n">
        <v>78</v>
      </c>
      <c r="D4" s="6" t="n">
        <v>88</v>
      </c>
      <c r="E4" s="6" t="n">
        <v>82</v>
      </c>
      <c r="F4" s="6" t="n">
        <v>75</v>
      </c>
      <c r="G4" s="7">
        <f>AVERAGE(C4:F4)</f>
        <v/>
      </c>
      <c r="H4" s="8">
        <f>IF(G4&gt;=85,"Pekiyi",IF(G4&gt;=70,"İyi",IF(G4&gt;=55,"Orta","Zayıf")))</f>
        <v/>
      </c>
    </row>
    <row r="5">
      <c r="A5" s="3" t="n">
        <v>3</v>
      </c>
      <c r="B5" s="3" t="inlineStr">
        <is>
          <t>Mehmet Demir</t>
        </is>
      </c>
      <c r="C5" s="3" t="n">
        <v>92</v>
      </c>
      <c r="D5" s="3" t="n">
        <v>76</v>
      </c>
      <c r="E5" s="3" t="n">
        <v>95</v>
      </c>
      <c r="F5" s="3" t="n">
        <v>88</v>
      </c>
      <c r="G5" s="4">
        <f>AVERAGE(C5:F5)</f>
        <v/>
      </c>
      <c r="H5" s="5">
        <f>IF(G5&gt;=85,"Pekiyi",IF(G5&gt;=70,"İyi",IF(G5&gt;=55,"Orta","Zayıf")))</f>
        <v/>
      </c>
    </row>
    <row r="6">
      <c r="A6" s="6" t="n">
        <v>4</v>
      </c>
      <c r="B6" s="6" t="inlineStr">
        <is>
          <t>Ayşe Çelik</t>
        </is>
      </c>
      <c r="C6" s="6" t="n">
        <v>88</v>
      </c>
      <c r="D6" s="6" t="n">
        <v>94</v>
      </c>
      <c r="E6" s="6" t="n">
        <v>79</v>
      </c>
      <c r="F6" s="6" t="n">
        <v>91</v>
      </c>
      <c r="G6" s="7">
        <f>AVERAGE(C6:F6)</f>
        <v/>
      </c>
      <c r="H6" s="8">
        <f>IF(G6&gt;=85,"Pekiyi",IF(G6&gt;=70,"İyi",IF(G6&gt;=55,"Orta","Zayıf")))</f>
        <v/>
      </c>
    </row>
    <row r="7">
      <c r="A7" s="3" t="n">
        <v>5</v>
      </c>
      <c r="B7" s="3" t="inlineStr">
        <is>
          <t>Ali Şahin</t>
        </is>
      </c>
      <c r="C7" s="3" t="n">
        <v>70</v>
      </c>
      <c r="D7" s="3" t="n">
        <v>82</v>
      </c>
      <c r="E7" s="3" t="n">
        <v>86</v>
      </c>
      <c r="F7" s="3" t="n">
        <v>78</v>
      </c>
      <c r="G7" s="4">
        <f>AVERAGE(C7:F7)</f>
        <v/>
      </c>
      <c r="H7" s="5">
        <f>IF(G7&gt;=85,"Pekiyi",IF(G7&gt;=70,"İyi",IF(G7&gt;=55,"Orta","Zayıf")))</f>
        <v/>
      </c>
    </row>
    <row r="8">
      <c r="A8" s="6" t="n">
        <v>6</v>
      </c>
      <c r="B8" s="6" t="inlineStr">
        <is>
          <t>Zeynep Arslan</t>
        </is>
      </c>
      <c r="C8" s="6" t="n">
        <v>95</v>
      </c>
      <c r="D8" s="6" t="n">
        <v>98</v>
      </c>
      <c r="E8" s="6" t="n">
        <v>91</v>
      </c>
      <c r="F8" s="6" t="n">
        <v>96</v>
      </c>
      <c r="G8" s="7">
        <f>AVERAGE(C8:F8)</f>
        <v/>
      </c>
      <c r="H8" s="8">
        <f>IF(G8&gt;=85,"Pekiyi",IF(G8&gt;=70,"İyi",IF(G8&gt;=55,"Orta","Zayıf")))</f>
        <v/>
      </c>
    </row>
    <row r="9">
      <c r="A9" s="3" t="n">
        <v>7</v>
      </c>
      <c r="B9" s="3" t="inlineStr">
        <is>
          <t>Can Koç</t>
        </is>
      </c>
      <c r="C9" s="3" t="n">
        <v>65</v>
      </c>
      <c r="D9" s="3" t="n">
        <v>74</v>
      </c>
      <c r="E9" s="3" t="n">
        <v>68</v>
      </c>
      <c r="F9" s="3" t="n">
        <v>70</v>
      </c>
      <c r="G9" s="4">
        <f>AVERAGE(C9:F9)</f>
        <v/>
      </c>
      <c r="H9" s="5">
        <f>IF(G9&gt;=85,"Pekiyi",IF(G9&gt;=70,"İyi",IF(G9&gt;=55,"Orta","Zayıf")))</f>
        <v/>
      </c>
    </row>
    <row r="10">
      <c r="A10" s="6" t="n">
        <v>8</v>
      </c>
      <c r="B10" s="6" t="inlineStr">
        <is>
          <t>Merve Yıldız</t>
        </is>
      </c>
      <c r="C10" s="6" t="n">
        <v>88</v>
      </c>
      <c r="D10" s="6" t="n">
        <v>85</v>
      </c>
      <c r="E10" s="6" t="n">
        <v>90</v>
      </c>
      <c r="F10" s="6" t="n">
        <v>87</v>
      </c>
      <c r="G10" s="7">
        <f>AVERAGE(C10:F10)</f>
        <v/>
      </c>
      <c r="H10" s="8">
        <f>IF(G10&gt;=85,"Pekiyi",IF(G10&gt;=70,"İyi",IF(G10&gt;=55,"Orta","Zayıf")))</f>
        <v/>
      </c>
    </row>
    <row r="11">
      <c r="A11" s="3" t="n">
        <v>9</v>
      </c>
      <c r="B11" s="3" t="inlineStr">
        <is>
          <t>Burak Demir</t>
        </is>
      </c>
      <c r="C11" s="3" t="n">
        <v>72</v>
      </c>
      <c r="D11" s="3" t="n">
        <v>80</v>
      </c>
      <c r="E11" s="3" t="n">
        <v>75</v>
      </c>
      <c r="F11" s="3" t="n">
        <v>82</v>
      </c>
      <c r="G11" s="4">
        <f>AVERAGE(C11:F11)</f>
        <v/>
      </c>
      <c r="H11" s="5">
        <f>IF(G11&gt;=85,"Pekiyi",IF(G11&gt;=70,"İyi",IF(G11&gt;=55,"Orta","Zayıf")))</f>
        <v/>
      </c>
    </row>
    <row r="12">
      <c r="A12" s="6" t="n">
        <v>10</v>
      </c>
      <c r="B12" s="6" t="inlineStr">
        <is>
          <t>Selin Çetin</t>
        </is>
      </c>
      <c r="C12" s="6" t="n">
        <v>91</v>
      </c>
      <c r="D12" s="6" t="n">
        <v>87</v>
      </c>
      <c r="E12" s="6" t="n">
        <v>93</v>
      </c>
      <c r="F12" s="6" t="n">
        <v>89</v>
      </c>
      <c r="G12" s="7">
        <f>AVERAGE(C12:F12)</f>
        <v/>
      </c>
      <c r="H12" s="8">
        <f>IF(G12&gt;=85,"Pekiyi",IF(G12&gt;=70,"İyi",IF(G12&gt;=55,"Orta","Zayıf")))</f>
        <v/>
      </c>
    </row>
    <row r="13">
      <c r="B13" s="9" t="inlineStr">
        <is>
          <t>SINIF ORTALAMASI</t>
        </is>
      </c>
      <c r="C13" s="10">
        <f>AVERAGE(C3:C12)</f>
        <v/>
      </c>
      <c r="D13" s="10">
        <f>AVERAGE(D3:D12)</f>
        <v/>
      </c>
      <c r="E13" s="10">
        <f>AVERAGE(E3:E12)</f>
        <v/>
      </c>
      <c r="F13" s="10">
        <f>AVERAGE(F3:F12)</f>
        <v/>
      </c>
      <c r="G13" s="10">
        <f>AVERAGE(G3:G12)</f>
        <v/>
      </c>
    </row>
  </sheetData>
  <mergeCells count="1">
    <mergeCell ref="A1:H1"/>
  </mergeCells>
  <conditionalFormatting sqref="G3:G12">
    <cfRule type="colorScale" priority="1">
      <colorScale>
        <cfvo type="num" val="50"/>
        <cfvo type="num" val="75"/>
        <cfvo type="num" val="100"/>
        <color rgb="00FF5C7A"/>
        <color rgb="00FF9F43"/>
        <color rgb="003DDC9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" t="inlineStr">
        <is>
          <t>DERS BAZLI NOT KARŞILAŞTIRMASI</t>
        </is>
      </c>
    </row>
    <row r="2">
      <c r="A2" s="2" t="inlineStr">
        <is>
          <t>Öğrenci</t>
        </is>
      </c>
      <c r="B2" s="2" t="inlineStr">
        <is>
          <t>Türkçe</t>
        </is>
      </c>
      <c r="C2" s="2" t="inlineStr">
        <is>
          <t>Matematik</t>
        </is>
      </c>
      <c r="D2" s="2" t="inlineStr">
        <is>
          <t>Fen Bil.</t>
        </is>
      </c>
    </row>
    <row r="3">
      <c r="A3" s="11" t="inlineStr">
        <is>
          <t>Ahmet</t>
        </is>
      </c>
      <c r="B3" s="11" t="n">
        <v>85</v>
      </c>
      <c r="C3" s="11" t="n">
        <v>90</v>
      </c>
      <c r="D3" s="11" t="n">
        <v>88</v>
      </c>
    </row>
    <row r="4">
      <c r="A4" s="11" t="inlineStr">
        <is>
          <t>Fatma</t>
        </is>
      </c>
      <c r="B4" s="11" t="n">
        <v>78</v>
      </c>
      <c r="C4" s="11" t="n">
        <v>88</v>
      </c>
      <c r="D4" s="11" t="n">
        <v>82</v>
      </c>
    </row>
    <row r="5">
      <c r="A5" s="11" t="inlineStr">
        <is>
          <t>Mehmet</t>
        </is>
      </c>
      <c r="B5" s="11" t="n">
        <v>92</v>
      </c>
      <c r="C5" s="11" t="n">
        <v>76</v>
      </c>
      <c r="D5" s="11" t="n">
        <v>95</v>
      </c>
    </row>
    <row r="6">
      <c r="A6" s="11" t="inlineStr">
        <is>
          <t>Ayşe</t>
        </is>
      </c>
      <c r="B6" s="11" t="n">
        <v>88</v>
      </c>
      <c r="C6" s="11" t="n">
        <v>94</v>
      </c>
      <c r="D6" s="11" t="n">
        <v>79</v>
      </c>
    </row>
    <row r="7">
      <c r="A7" s="11" t="inlineStr">
        <is>
          <t>Ali</t>
        </is>
      </c>
      <c r="B7" s="11" t="n">
        <v>70</v>
      </c>
      <c r="C7" s="11" t="n">
        <v>82</v>
      </c>
      <c r="D7" s="11" t="n">
        <v>86</v>
      </c>
    </row>
    <row r="8">
      <c r="A8" s="11" t="inlineStr">
        <is>
          <t>Zeynep</t>
        </is>
      </c>
      <c r="B8" s="11" t="n">
        <v>95</v>
      </c>
      <c r="C8" s="11" t="n">
        <v>98</v>
      </c>
      <c r="D8" s="11" t="n">
        <v>91</v>
      </c>
    </row>
    <row r="9">
      <c r="A9" s="11" t="inlineStr">
        <is>
          <t>Can</t>
        </is>
      </c>
      <c r="B9" s="11" t="n">
        <v>65</v>
      </c>
      <c r="C9" s="11" t="n">
        <v>74</v>
      </c>
      <c r="D9" s="11" t="n">
        <v>68</v>
      </c>
    </row>
    <row r="10">
      <c r="A10" s="11" t="inlineStr">
        <is>
          <t>Merve</t>
        </is>
      </c>
      <c r="B10" s="11" t="n">
        <v>88</v>
      </c>
      <c r="C10" s="11" t="n">
        <v>85</v>
      </c>
      <c r="D10" s="11" t="n">
        <v>90</v>
      </c>
    </row>
    <row r="11">
      <c r="A11" s="11" t="inlineStr">
        <is>
          <t>Burak</t>
        </is>
      </c>
      <c r="B11" s="11" t="n">
        <v>72</v>
      </c>
      <c r="C11" s="11" t="n">
        <v>80</v>
      </c>
      <c r="D11" s="11" t="n">
        <v>75</v>
      </c>
    </row>
    <row r="12">
      <c r="A12" s="11" t="inlineStr">
        <is>
          <t>Selin</t>
        </is>
      </c>
      <c r="B12" s="11" t="n">
        <v>91</v>
      </c>
      <c r="C12" s="11" t="n">
        <v>87</v>
      </c>
      <c r="D12" s="11" t="n">
        <v>93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2026-05-05T21:49:20Z</dcterms:created>
  <dcterms:modified xmlns:dcterms="http://purl.org/dc/terms/" xmlns:xsi="http://www.w3.org/2001/XMLSchema-instance" xsi:type="dcterms:W3CDTF">2026-05-05T21:49:20Z</dcterms:modified>
</cp:coreProperties>
</file>